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ham-my.sharepoint.com/personal/sxl1405_student_bham_ac_uk/Documents/uplb/"/>
    </mc:Choice>
  </mc:AlternateContent>
  <xr:revisionPtr revIDLastSave="114" documentId="8_{8794D628-2293-4DBC-B7B7-3ABFDF00877D}" xr6:coauthVersionLast="47" xr6:coauthVersionMax="47" xr10:uidLastSave="{B19281D8-BDC9-EE42-B0E2-7AB3501695EF}"/>
  <bookViews>
    <workbookView xWindow="0" yWindow="500" windowWidth="28800" windowHeight="15800" activeTab="6" xr2:uid="{00000000-000D-0000-FFFF-FFFF00000000}"/>
  </bookViews>
  <sheets>
    <sheet name="CHIRPS_BiasCorrect" sheetId="1" r:id="rId1"/>
    <sheet name="Monthly Effective (P_eff)" sheetId="2" r:id="rId2"/>
    <sheet name="Final Rainfall" sheetId="8" r:id="rId3"/>
    <sheet name="Percolation per month" sheetId="3" r:id="rId4"/>
    <sheet name="ET_a" sheetId="6" r:id="rId5"/>
    <sheet name="Water Delivered" sheetId="7" r:id="rId6"/>
    <sheet name="summary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7" i="8" l="1"/>
  <c r="D85" i="8"/>
  <c r="D73" i="8"/>
  <c r="D61" i="8"/>
  <c r="D49" i="8"/>
  <c r="D37" i="8"/>
  <c r="D25" i="8"/>
  <c r="D13" i="8"/>
  <c r="CF4" i="2"/>
  <c r="CF5" i="2"/>
  <c r="CF6" i="2"/>
  <c r="CF7" i="2"/>
  <c r="CF8" i="2"/>
  <c r="CF9" i="2"/>
  <c r="CF10" i="2"/>
  <c r="CF11" i="2"/>
  <c r="CF12" i="2"/>
  <c r="CF13" i="2"/>
  <c r="CF14" i="2"/>
  <c r="CF15" i="2"/>
  <c r="CF16" i="2"/>
  <c r="CF17" i="2"/>
  <c r="CF18" i="2"/>
  <c r="CF19" i="2"/>
  <c r="CF20" i="2"/>
  <c r="CF21" i="2"/>
  <c r="CF22" i="2"/>
  <c r="CF23" i="2"/>
  <c r="CF24" i="2"/>
  <c r="CF25" i="2"/>
  <c r="CF26" i="2"/>
  <c r="CF27" i="2"/>
  <c r="CF28" i="2"/>
  <c r="CF29" i="2"/>
  <c r="CF30" i="2"/>
  <c r="CF31" i="2"/>
  <c r="CF32" i="2"/>
  <c r="CF33" i="2"/>
  <c r="CF34" i="2"/>
  <c r="CF35" i="2"/>
  <c r="CF36" i="2"/>
  <c r="CF37" i="2"/>
  <c r="CF38" i="2"/>
  <c r="CF39" i="2"/>
  <c r="CF40" i="2"/>
  <c r="CF41" i="2"/>
  <c r="CF42" i="2"/>
  <c r="CF43" i="2"/>
  <c r="CF44" i="2"/>
  <c r="CF45" i="2"/>
  <c r="CF46" i="2"/>
  <c r="CF47" i="2"/>
  <c r="CF48" i="2"/>
  <c r="CF49" i="2"/>
  <c r="CF50" i="2"/>
  <c r="CF51" i="2"/>
  <c r="CF52" i="2"/>
  <c r="CF53" i="2"/>
  <c r="CF54" i="2"/>
  <c r="CF55" i="2"/>
  <c r="CF56" i="2"/>
  <c r="CF57" i="2"/>
  <c r="CF58" i="2"/>
  <c r="CF59" i="2"/>
  <c r="CF60" i="2"/>
  <c r="CF61" i="2"/>
  <c r="CF62" i="2"/>
  <c r="CF63" i="2"/>
  <c r="CF64" i="2"/>
  <c r="CF65" i="2"/>
  <c r="CF66" i="2"/>
  <c r="CF67" i="2"/>
  <c r="CF68" i="2"/>
  <c r="CF69" i="2"/>
  <c r="CF70" i="2"/>
  <c r="CF71" i="2"/>
  <c r="CF72" i="2"/>
  <c r="CF73" i="2"/>
  <c r="CF74" i="2"/>
  <c r="CF75" i="2"/>
  <c r="CF76" i="2"/>
  <c r="CF77" i="2"/>
  <c r="CF78" i="2"/>
  <c r="CF79" i="2"/>
  <c r="CF80" i="2"/>
  <c r="CF81" i="2"/>
  <c r="CF82" i="2"/>
  <c r="CF83" i="2"/>
  <c r="CF84" i="2"/>
  <c r="CF85" i="2"/>
  <c r="CF86" i="2"/>
  <c r="CF87" i="2"/>
  <c r="CF88" i="2"/>
  <c r="CF89" i="2"/>
  <c r="CF90" i="2"/>
  <c r="CF91" i="2"/>
  <c r="CF92" i="2"/>
  <c r="CF93" i="2"/>
  <c r="CF94" i="2"/>
  <c r="CF95" i="2"/>
  <c r="CF96" i="2"/>
  <c r="CF97" i="2"/>
  <c r="CF98" i="2"/>
  <c r="CF3" i="2"/>
  <c r="J39" i="5"/>
  <c r="J40" i="5"/>
  <c r="J41" i="5"/>
  <c r="J42" i="5"/>
  <c r="J50" i="5"/>
  <c r="J51" i="5"/>
  <c r="J52" i="5"/>
  <c r="J53" i="5"/>
  <c r="J54" i="5"/>
  <c r="J56" i="5"/>
  <c r="J63" i="5"/>
  <c r="J64" i="5"/>
  <c r="J66" i="5"/>
  <c r="J67" i="5"/>
  <c r="J68" i="5"/>
  <c r="J75" i="5"/>
  <c r="J76" i="5"/>
  <c r="J77" i="5"/>
  <c r="J78" i="5"/>
  <c r="J79" i="5"/>
  <c r="J80" i="5"/>
  <c r="J87" i="5"/>
  <c r="J8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38" i="5"/>
  <c r="H39" i="5"/>
  <c r="H40" i="5"/>
  <c r="H41" i="5"/>
  <c r="H42" i="5"/>
  <c r="H43" i="5"/>
  <c r="H44" i="5"/>
  <c r="J44" i="5" s="1"/>
  <c r="H45" i="5"/>
  <c r="J45" i="5" s="1"/>
  <c r="H46" i="5"/>
  <c r="J46" i="5" s="1"/>
  <c r="H47" i="5"/>
  <c r="J47" i="5" s="1"/>
  <c r="H48" i="5"/>
  <c r="J48" i="5" s="1"/>
  <c r="H49" i="5"/>
  <c r="J49" i="5" s="1"/>
  <c r="H50" i="5"/>
  <c r="H51" i="5"/>
  <c r="H52" i="5"/>
  <c r="H53" i="5"/>
  <c r="H54" i="5"/>
  <c r="H55" i="5"/>
  <c r="H56" i="5"/>
  <c r="H57" i="5"/>
  <c r="J57" i="5" s="1"/>
  <c r="H58" i="5"/>
  <c r="J58" i="5" s="1"/>
  <c r="H59" i="5"/>
  <c r="J59" i="5" s="1"/>
  <c r="H60" i="5"/>
  <c r="J60" i="5" s="1"/>
  <c r="H61" i="5"/>
  <c r="J61" i="5" s="1"/>
  <c r="H62" i="5"/>
  <c r="J62" i="5" s="1"/>
  <c r="H63" i="5"/>
  <c r="H64" i="5"/>
  <c r="H65" i="5"/>
  <c r="J65" i="5" s="1"/>
  <c r="H66" i="5"/>
  <c r="H67" i="5"/>
  <c r="H68" i="5"/>
  <c r="H69" i="5"/>
  <c r="J69" i="5" s="1"/>
  <c r="H70" i="5"/>
  <c r="J70" i="5" s="1"/>
  <c r="H71" i="5"/>
  <c r="J71" i="5" s="1"/>
  <c r="H72" i="5"/>
  <c r="J72" i="5" s="1"/>
  <c r="H73" i="5"/>
  <c r="J73" i="5" s="1"/>
  <c r="H74" i="5"/>
  <c r="J74" i="5" s="1"/>
  <c r="H75" i="5"/>
  <c r="H76" i="5"/>
  <c r="H77" i="5"/>
  <c r="H78" i="5"/>
  <c r="H79" i="5"/>
  <c r="H80" i="5"/>
  <c r="H81" i="5"/>
  <c r="J81" i="5" s="1"/>
  <c r="H82" i="5"/>
  <c r="J82" i="5" s="1"/>
  <c r="H83" i="5"/>
  <c r="J83" i="5" s="1"/>
  <c r="H84" i="5"/>
  <c r="J84" i="5" s="1"/>
  <c r="H85" i="5"/>
  <c r="J85" i="5" s="1"/>
  <c r="H86" i="5"/>
  <c r="J86" i="5" s="1"/>
  <c r="H87" i="5"/>
  <c r="H88" i="5"/>
  <c r="H89" i="5"/>
  <c r="H90" i="5"/>
  <c r="H91" i="5"/>
  <c r="J91" i="5" s="1"/>
  <c r="H92" i="5"/>
  <c r="J92" i="5" s="1"/>
  <c r="H93" i="5"/>
  <c r="J93" i="5" s="1"/>
  <c r="H94" i="5"/>
  <c r="J94" i="5" s="1"/>
  <c r="H95" i="5"/>
  <c r="J95" i="5" s="1"/>
  <c r="H96" i="5"/>
  <c r="J96" i="5" s="1"/>
  <c r="H97" i="5"/>
  <c r="J97" i="5" s="1"/>
  <c r="H38" i="5"/>
  <c r="J38" i="5" s="1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J98" i="5" l="1"/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2" i="3"/>
  <c r="M7" i="3"/>
  <c r="M3" i="3"/>
  <c r="M4" i="3"/>
  <c r="M5" i="3"/>
  <c r="M6" i="3"/>
  <c r="M2" i="3"/>
  <c r="L3" i="3"/>
  <c r="L4" i="3"/>
  <c r="L5" i="3"/>
  <c r="L7" i="3" s="1"/>
  <c r="L6" i="3"/>
  <c r="L2" i="3"/>
  <c r="K7" i="3"/>
  <c r="K3" i="3"/>
  <c r="K4" i="3"/>
  <c r="K5" i="3"/>
  <c r="K6" i="3"/>
  <c r="K2" i="3"/>
  <c r="I25" i="3"/>
  <c r="J7" i="3"/>
  <c r="J6" i="3" a="1"/>
  <c r="J6" i="3" s="1"/>
  <c r="J5" i="3" a="1"/>
  <c r="J5" i="3" s="1"/>
  <c r="J4" i="3" a="1"/>
  <c r="J4" i="3" s="1"/>
  <c r="J3" i="3" a="1"/>
  <c r="J3" i="3" s="1"/>
  <c r="J2" i="3" a="1"/>
  <c r="J2" i="3" s="1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A4" i="2"/>
  <c r="CA5" i="2"/>
  <c r="CA6" i="2"/>
  <c r="CA7" i="2"/>
  <c r="CA8" i="2"/>
  <c r="CA9" i="2"/>
  <c r="CA10" i="2"/>
  <c r="CA11" i="2"/>
  <c r="CA12" i="2"/>
  <c r="CA13" i="2"/>
  <c r="CA14" i="2"/>
  <c r="CA15" i="2"/>
  <c r="CA16" i="2"/>
  <c r="CA17" i="2"/>
  <c r="CA18" i="2"/>
  <c r="CA19" i="2"/>
  <c r="CA20" i="2"/>
  <c r="CA21" i="2"/>
  <c r="CA22" i="2"/>
  <c r="CA23" i="2"/>
  <c r="CA24" i="2"/>
  <c r="CA25" i="2"/>
  <c r="CA26" i="2"/>
  <c r="CA27" i="2"/>
  <c r="CA28" i="2"/>
  <c r="CA29" i="2"/>
  <c r="CA30" i="2"/>
  <c r="CA31" i="2"/>
  <c r="CA32" i="2"/>
  <c r="CA33" i="2"/>
  <c r="CA34" i="2"/>
  <c r="CA35" i="2"/>
  <c r="CA36" i="2"/>
  <c r="CA37" i="2"/>
  <c r="CA38" i="2"/>
  <c r="CA39" i="2"/>
  <c r="CA40" i="2"/>
  <c r="CA41" i="2"/>
  <c r="CA42" i="2"/>
  <c r="CA43" i="2"/>
  <c r="CA44" i="2"/>
  <c r="CA45" i="2"/>
  <c r="CA46" i="2"/>
  <c r="CA47" i="2"/>
  <c r="CA48" i="2"/>
  <c r="CA49" i="2"/>
  <c r="CA50" i="2"/>
  <c r="CA51" i="2"/>
  <c r="CA52" i="2"/>
  <c r="CA53" i="2"/>
  <c r="CA54" i="2"/>
  <c r="CA55" i="2"/>
  <c r="CA56" i="2"/>
  <c r="CA57" i="2"/>
  <c r="CA58" i="2"/>
  <c r="CA59" i="2"/>
  <c r="CA60" i="2"/>
  <c r="CA61" i="2"/>
  <c r="CA62" i="2"/>
  <c r="CA63" i="2"/>
  <c r="CA64" i="2"/>
  <c r="CA65" i="2"/>
  <c r="CA66" i="2"/>
  <c r="CA67" i="2"/>
  <c r="CA68" i="2"/>
  <c r="CA69" i="2"/>
  <c r="CA70" i="2"/>
  <c r="CA71" i="2"/>
  <c r="CA72" i="2"/>
  <c r="CA73" i="2"/>
  <c r="CA74" i="2"/>
  <c r="CA75" i="2"/>
  <c r="CA76" i="2"/>
  <c r="CA77" i="2"/>
  <c r="CA78" i="2"/>
  <c r="CA79" i="2"/>
  <c r="CA80" i="2"/>
  <c r="CA81" i="2"/>
  <c r="CA82" i="2"/>
  <c r="CA83" i="2"/>
  <c r="CA84" i="2"/>
  <c r="CA85" i="2"/>
  <c r="CA86" i="2"/>
  <c r="CA87" i="2"/>
  <c r="CA88" i="2"/>
  <c r="CA89" i="2"/>
  <c r="CA90" i="2"/>
  <c r="CA91" i="2"/>
  <c r="CA92" i="2"/>
  <c r="CA93" i="2"/>
  <c r="CA94" i="2"/>
  <c r="CA95" i="2"/>
  <c r="CA96" i="2"/>
  <c r="CA97" i="2"/>
  <c r="CA98" i="2"/>
  <c r="BY4" i="2"/>
  <c r="BY5" i="2"/>
  <c r="BY6" i="2"/>
  <c r="BY7" i="2"/>
  <c r="BY8" i="2"/>
  <c r="BY9" i="2"/>
  <c r="BY10" i="2"/>
  <c r="BY11" i="2"/>
  <c r="BY12" i="2"/>
  <c r="BY13" i="2"/>
  <c r="BY14" i="2"/>
  <c r="BY15" i="2"/>
  <c r="BY16" i="2"/>
  <c r="BY17" i="2"/>
  <c r="BY18" i="2"/>
  <c r="BY19" i="2"/>
  <c r="BY20" i="2"/>
  <c r="BY21" i="2"/>
  <c r="BY22" i="2"/>
  <c r="BY23" i="2"/>
  <c r="BY24" i="2"/>
  <c r="BY25" i="2"/>
  <c r="BY26" i="2"/>
  <c r="BY27" i="2"/>
  <c r="BY28" i="2"/>
  <c r="BY29" i="2"/>
  <c r="BY30" i="2"/>
  <c r="BY31" i="2"/>
  <c r="BY32" i="2"/>
  <c r="BY33" i="2"/>
  <c r="BY34" i="2"/>
  <c r="BY35" i="2"/>
  <c r="BY36" i="2"/>
  <c r="BY37" i="2"/>
  <c r="BY38" i="2"/>
  <c r="BY39" i="2"/>
  <c r="BY40" i="2"/>
  <c r="BY41" i="2"/>
  <c r="BY42" i="2"/>
  <c r="BY43" i="2"/>
  <c r="BY44" i="2"/>
  <c r="BY45" i="2"/>
  <c r="BY46" i="2"/>
  <c r="BY47" i="2"/>
  <c r="BY48" i="2"/>
  <c r="BY49" i="2"/>
  <c r="BY50" i="2"/>
  <c r="BY51" i="2"/>
  <c r="BY52" i="2"/>
  <c r="BY53" i="2"/>
  <c r="BY54" i="2"/>
  <c r="BY55" i="2"/>
  <c r="BY56" i="2"/>
  <c r="BY57" i="2"/>
  <c r="BY58" i="2"/>
  <c r="BY59" i="2"/>
  <c r="BY60" i="2"/>
  <c r="BY61" i="2"/>
  <c r="BY62" i="2"/>
  <c r="BY63" i="2"/>
  <c r="BY64" i="2"/>
  <c r="BY65" i="2"/>
  <c r="BY66" i="2"/>
  <c r="BY67" i="2"/>
  <c r="BY68" i="2"/>
  <c r="BY69" i="2"/>
  <c r="BY70" i="2"/>
  <c r="BY71" i="2"/>
  <c r="BY72" i="2"/>
  <c r="BY73" i="2"/>
  <c r="BY74" i="2"/>
  <c r="BY75" i="2"/>
  <c r="BY76" i="2"/>
  <c r="BY77" i="2"/>
  <c r="BY78" i="2"/>
  <c r="BY79" i="2"/>
  <c r="BY80" i="2"/>
  <c r="BY81" i="2"/>
  <c r="BY82" i="2"/>
  <c r="BY83" i="2"/>
  <c r="BY84" i="2"/>
  <c r="BY85" i="2"/>
  <c r="BY86" i="2"/>
  <c r="BY87" i="2"/>
  <c r="BY88" i="2"/>
  <c r="BY89" i="2"/>
  <c r="BY90" i="2"/>
  <c r="BY91" i="2"/>
  <c r="BY92" i="2"/>
  <c r="BY93" i="2"/>
  <c r="BY94" i="2"/>
  <c r="BY95" i="2"/>
  <c r="BY96" i="2"/>
  <c r="BY97" i="2"/>
  <c r="BY98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20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6" i="2"/>
  <c r="BQ37" i="2"/>
  <c r="BQ38" i="2"/>
  <c r="BQ39" i="2"/>
  <c r="BQ40" i="2"/>
  <c r="BQ41" i="2"/>
  <c r="BQ42" i="2"/>
  <c r="BQ43" i="2"/>
  <c r="BQ44" i="2"/>
  <c r="BQ45" i="2"/>
  <c r="BQ46" i="2"/>
  <c r="BQ47" i="2"/>
  <c r="BQ48" i="2"/>
  <c r="BQ49" i="2"/>
  <c r="BQ50" i="2"/>
  <c r="BQ51" i="2"/>
  <c r="BQ52" i="2"/>
  <c r="BQ53" i="2"/>
  <c r="BQ54" i="2"/>
  <c r="BQ55" i="2"/>
  <c r="BQ56" i="2"/>
  <c r="BQ57" i="2"/>
  <c r="BQ58" i="2"/>
  <c r="BQ59" i="2"/>
  <c r="BQ60" i="2"/>
  <c r="BQ61" i="2"/>
  <c r="BQ62" i="2"/>
  <c r="BQ63" i="2"/>
  <c r="BQ64" i="2"/>
  <c r="BQ65" i="2"/>
  <c r="BQ66" i="2"/>
  <c r="BQ67" i="2"/>
  <c r="BQ68" i="2"/>
  <c r="BQ69" i="2"/>
  <c r="BQ70" i="2"/>
  <c r="BQ71" i="2"/>
  <c r="BQ72" i="2"/>
  <c r="BQ73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O4" i="2"/>
  <c r="BO5" i="2"/>
  <c r="BO6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O47" i="2"/>
  <c r="BO48" i="2"/>
  <c r="BO49" i="2"/>
  <c r="BO50" i="2"/>
  <c r="BO51" i="2"/>
  <c r="BO52" i="2"/>
  <c r="BO53" i="2"/>
  <c r="BO54" i="2"/>
  <c r="BO55" i="2"/>
  <c r="BO56" i="2"/>
  <c r="BO57" i="2"/>
  <c r="BO58" i="2"/>
  <c r="BO59" i="2"/>
  <c r="BO60" i="2"/>
  <c r="BO61" i="2"/>
  <c r="BO62" i="2"/>
  <c r="BO63" i="2"/>
  <c r="BO64" i="2"/>
  <c r="BO65" i="2"/>
  <c r="BO66" i="2"/>
  <c r="BO67" i="2"/>
  <c r="BO68" i="2"/>
  <c r="BO69" i="2"/>
  <c r="BO70" i="2"/>
  <c r="BO71" i="2"/>
  <c r="BO72" i="2"/>
  <c r="BO73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M4" i="2"/>
  <c r="BM5" i="2"/>
  <c r="BM6" i="2"/>
  <c r="BM7" i="2"/>
  <c r="BM8" i="2"/>
  <c r="BM9" i="2"/>
  <c r="BM10" i="2"/>
  <c r="BM11" i="2"/>
  <c r="BM12" i="2"/>
  <c r="BM13" i="2"/>
  <c r="BM14" i="2"/>
  <c r="BM15" i="2"/>
  <c r="BM16" i="2"/>
  <c r="BM17" i="2"/>
  <c r="BM18" i="2"/>
  <c r="BM19" i="2"/>
  <c r="BM20" i="2"/>
  <c r="BM21" i="2"/>
  <c r="BM22" i="2"/>
  <c r="BM23" i="2"/>
  <c r="BM24" i="2"/>
  <c r="BM25" i="2"/>
  <c r="BM26" i="2"/>
  <c r="BM27" i="2"/>
  <c r="BM28" i="2"/>
  <c r="BM29" i="2"/>
  <c r="BM30" i="2"/>
  <c r="BM31" i="2"/>
  <c r="BM32" i="2"/>
  <c r="BM33" i="2"/>
  <c r="BM34" i="2"/>
  <c r="BM35" i="2"/>
  <c r="BM36" i="2"/>
  <c r="BM37" i="2"/>
  <c r="BM38" i="2"/>
  <c r="BM39" i="2"/>
  <c r="BM40" i="2"/>
  <c r="BM41" i="2"/>
  <c r="BM42" i="2"/>
  <c r="BM43" i="2"/>
  <c r="BM44" i="2"/>
  <c r="BM45" i="2"/>
  <c r="BM46" i="2"/>
  <c r="BM47" i="2"/>
  <c r="BM48" i="2"/>
  <c r="BM49" i="2"/>
  <c r="BM50" i="2"/>
  <c r="BM51" i="2"/>
  <c r="BM52" i="2"/>
  <c r="BM53" i="2"/>
  <c r="BM54" i="2"/>
  <c r="BM55" i="2"/>
  <c r="BM56" i="2"/>
  <c r="BM57" i="2"/>
  <c r="BM58" i="2"/>
  <c r="BM59" i="2"/>
  <c r="BM60" i="2"/>
  <c r="BM61" i="2"/>
  <c r="BM62" i="2"/>
  <c r="BM63" i="2"/>
  <c r="BM64" i="2"/>
  <c r="BM65" i="2"/>
  <c r="BM66" i="2"/>
  <c r="BM67" i="2"/>
  <c r="BM68" i="2"/>
  <c r="BM69" i="2"/>
  <c r="BM70" i="2"/>
  <c r="BM71" i="2"/>
  <c r="BM72" i="2"/>
  <c r="BM73" i="2"/>
  <c r="BM74" i="2"/>
  <c r="BM75" i="2"/>
  <c r="BM76" i="2"/>
  <c r="BM77" i="2"/>
  <c r="BM78" i="2"/>
  <c r="BM79" i="2"/>
  <c r="BM80" i="2"/>
  <c r="BM81" i="2"/>
  <c r="BM82" i="2"/>
  <c r="BM83" i="2"/>
  <c r="BM84" i="2"/>
  <c r="BM85" i="2"/>
  <c r="BM86" i="2"/>
  <c r="BM87" i="2"/>
  <c r="BM88" i="2"/>
  <c r="BM89" i="2"/>
  <c r="BM90" i="2"/>
  <c r="BM91" i="2"/>
  <c r="BM92" i="2"/>
  <c r="BM93" i="2"/>
  <c r="BM94" i="2"/>
  <c r="BM95" i="2"/>
  <c r="BM96" i="2"/>
  <c r="BM97" i="2"/>
  <c r="BM98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38" i="2"/>
  <c r="BG39" i="2"/>
  <c r="BG40" i="2"/>
  <c r="BG41" i="2"/>
  <c r="BG42" i="2"/>
  <c r="BG43" i="2"/>
  <c r="BG44" i="2"/>
  <c r="BG45" i="2"/>
  <c r="BG46" i="2"/>
  <c r="BG47" i="2"/>
  <c r="BG48" i="2"/>
  <c r="BG49" i="2"/>
  <c r="BG50" i="2"/>
  <c r="BG51" i="2"/>
  <c r="BG52" i="2"/>
  <c r="BG53" i="2"/>
  <c r="BG54" i="2"/>
  <c r="BG55" i="2"/>
  <c r="BG56" i="2"/>
  <c r="BG57" i="2"/>
  <c r="BG58" i="2"/>
  <c r="BG59" i="2"/>
  <c r="BG60" i="2"/>
  <c r="BG61" i="2"/>
  <c r="BG62" i="2"/>
  <c r="BG63" i="2"/>
  <c r="BG64" i="2"/>
  <c r="BG65" i="2"/>
  <c r="BG66" i="2"/>
  <c r="BG67" i="2"/>
  <c r="BG68" i="2"/>
  <c r="BG69" i="2"/>
  <c r="BG70" i="2"/>
  <c r="BG71" i="2"/>
  <c r="BG72" i="2"/>
  <c r="BG73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41" i="2"/>
  <c r="BE42" i="2"/>
  <c r="BE43" i="2"/>
  <c r="BE44" i="2"/>
  <c r="BE45" i="2"/>
  <c r="BE46" i="2"/>
  <c r="BE47" i="2"/>
  <c r="BE48" i="2"/>
  <c r="BE49" i="2"/>
  <c r="BE50" i="2"/>
  <c r="BE51" i="2"/>
  <c r="BE52" i="2"/>
  <c r="BE53" i="2"/>
  <c r="BE54" i="2"/>
  <c r="BE55" i="2"/>
  <c r="BE56" i="2"/>
  <c r="BE57" i="2"/>
  <c r="BE58" i="2"/>
  <c r="BE59" i="2"/>
  <c r="BE60" i="2"/>
  <c r="BE61" i="2"/>
  <c r="BE62" i="2"/>
  <c r="BE63" i="2"/>
  <c r="BE64" i="2"/>
  <c r="BE65" i="2"/>
  <c r="BE66" i="2"/>
  <c r="BE67" i="2"/>
  <c r="BE68" i="2"/>
  <c r="BE69" i="2"/>
  <c r="BE70" i="2"/>
  <c r="BE71" i="2"/>
  <c r="BE72" i="2"/>
  <c r="BE73" i="2"/>
  <c r="BE74" i="2"/>
  <c r="BE75" i="2"/>
  <c r="BE76" i="2"/>
  <c r="BE77" i="2"/>
  <c r="BE78" i="2"/>
  <c r="BE79" i="2"/>
  <c r="BE80" i="2"/>
  <c r="BE81" i="2"/>
  <c r="BE82" i="2"/>
  <c r="BE83" i="2"/>
  <c r="BE84" i="2"/>
  <c r="BE85" i="2"/>
  <c r="BE86" i="2"/>
  <c r="BE87" i="2"/>
  <c r="BE88" i="2"/>
  <c r="BE89" i="2"/>
  <c r="BE90" i="2"/>
  <c r="BE91" i="2"/>
  <c r="BE92" i="2"/>
  <c r="BE93" i="2"/>
  <c r="BE94" i="2"/>
  <c r="BE95" i="2"/>
  <c r="BE96" i="2"/>
  <c r="BE97" i="2"/>
  <c r="BE98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41" i="2"/>
  <c r="BC42" i="2"/>
  <c r="BC43" i="2"/>
  <c r="BC44" i="2"/>
  <c r="BC45" i="2"/>
  <c r="BC46" i="2"/>
  <c r="BC47" i="2"/>
  <c r="BC48" i="2"/>
  <c r="BC49" i="2"/>
  <c r="BC50" i="2"/>
  <c r="BC51" i="2"/>
  <c r="BC52" i="2"/>
  <c r="BC53" i="2"/>
  <c r="BC54" i="2"/>
  <c r="BC55" i="2"/>
  <c r="BC56" i="2"/>
  <c r="BC57" i="2"/>
  <c r="BC58" i="2"/>
  <c r="BC59" i="2"/>
  <c r="BC60" i="2"/>
  <c r="BC61" i="2"/>
  <c r="BC62" i="2"/>
  <c r="BC63" i="2"/>
  <c r="BC64" i="2"/>
  <c r="BC65" i="2"/>
  <c r="BC66" i="2"/>
  <c r="BC67" i="2"/>
  <c r="BC68" i="2"/>
  <c r="BC69" i="2"/>
  <c r="BC70" i="2"/>
  <c r="BC71" i="2"/>
  <c r="BC72" i="2"/>
  <c r="BC73" i="2"/>
  <c r="BC74" i="2"/>
  <c r="BC75" i="2"/>
  <c r="BC76" i="2"/>
  <c r="BC77" i="2"/>
  <c r="BC78" i="2"/>
  <c r="BC79" i="2"/>
  <c r="BC80" i="2"/>
  <c r="BC81" i="2"/>
  <c r="BC82" i="2"/>
  <c r="BC83" i="2"/>
  <c r="BC84" i="2"/>
  <c r="BC85" i="2"/>
  <c r="BC86" i="2"/>
  <c r="BC87" i="2"/>
  <c r="BC88" i="2"/>
  <c r="BC89" i="2"/>
  <c r="BC90" i="2"/>
  <c r="BC91" i="2"/>
  <c r="BC92" i="2"/>
  <c r="BC93" i="2"/>
  <c r="BC94" i="2"/>
  <c r="BC95" i="2"/>
  <c r="BC96" i="2"/>
  <c r="BC97" i="2"/>
  <c r="BC98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CE3" i="2"/>
  <c r="CC3" i="2"/>
  <c r="CA3" i="2"/>
  <c r="BY3" i="2"/>
  <c r="BW3" i="2"/>
  <c r="BU3" i="2"/>
  <c r="BS3" i="2"/>
  <c r="BQ3" i="2"/>
  <c r="BO3" i="2"/>
  <c r="BM3" i="2"/>
  <c r="BK3" i="2"/>
  <c r="BI3" i="2"/>
  <c r="BG3" i="2"/>
  <c r="BE3" i="2"/>
  <c r="BC3" i="2"/>
  <c r="BA3" i="2"/>
  <c r="AY3" i="2"/>
  <c r="AW3" i="2"/>
  <c r="AU3" i="2"/>
  <c r="AS3" i="2"/>
  <c r="AQ3" i="2"/>
  <c r="AO3" i="2"/>
  <c r="AM3" i="2"/>
  <c r="AK3" i="2"/>
  <c r="AI3" i="2"/>
  <c r="AG3" i="2"/>
  <c r="AE3" i="2"/>
  <c r="AC3" i="2"/>
  <c r="AA3" i="2"/>
  <c r="Y3" i="2"/>
  <c r="W3" i="2"/>
  <c r="U3" i="2"/>
  <c r="S3" i="2"/>
  <c r="Q3" i="2"/>
  <c r="O3" i="2"/>
  <c r="M3" i="2"/>
  <c r="K3" i="2"/>
  <c r="I3" i="2"/>
  <c r="G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3" i="2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3" i="1"/>
  <c r="BM4" i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3" i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3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<sst xmlns="http://schemas.openxmlformats.org/spreadsheetml/2006/main" count="309" uniqueCount="82">
  <si>
    <t>Date</t>
  </si>
  <si>
    <t>Year</t>
  </si>
  <si>
    <t>Month</t>
  </si>
  <si>
    <t>584730</t>
  </si>
  <si>
    <t>584759</t>
  </si>
  <si>
    <t>584760</t>
  </si>
  <si>
    <t>584673</t>
  </si>
  <si>
    <t>584674</t>
  </si>
  <si>
    <t>584701</t>
  </si>
  <si>
    <t>584642</t>
  </si>
  <si>
    <t>584672</t>
  </si>
  <si>
    <t>584671</t>
  </si>
  <si>
    <t>584670</t>
  </si>
  <si>
    <t>584700</t>
  </si>
  <si>
    <t>584729</t>
  </si>
  <si>
    <t>584727</t>
  </si>
  <si>
    <t>584758</t>
  </si>
  <si>
    <t>584757</t>
  </si>
  <si>
    <t>584756</t>
  </si>
  <si>
    <t>584788</t>
  </si>
  <si>
    <t>584787</t>
  </si>
  <si>
    <t>584725</t>
  </si>
  <si>
    <t>584726</t>
  </si>
  <si>
    <t>584755</t>
  </si>
  <si>
    <t>584754</t>
  </si>
  <si>
    <t>584612</t>
  </si>
  <si>
    <t>584640</t>
  </si>
  <si>
    <t>584611</t>
  </si>
  <si>
    <t>584639</t>
  </si>
  <si>
    <t>584668</t>
  </si>
  <si>
    <t>584667</t>
  </si>
  <si>
    <t>584638</t>
  </si>
  <si>
    <t>584666</t>
  </si>
  <si>
    <t>584695</t>
  </si>
  <si>
    <t>584641</t>
  </si>
  <si>
    <t>584669</t>
  </si>
  <si>
    <t>584697</t>
  </si>
  <si>
    <t>584696</t>
  </si>
  <si>
    <t>584724</t>
  </si>
  <si>
    <t>584723</t>
  </si>
  <si>
    <t>Raw</t>
  </si>
  <si>
    <t>Corrected</t>
  </si>
  <si>
    <t>CORRECTION</t>
  </si>
  <si>
    <t>Factor</t>
  </si>
  <si>
    <t>P_eff</t>
  </si>
  <si>
    <t>Days</t>
  </si>
  <si>
    <t>Percolation rate (mm/month)</t>
  </si>
  <si>
    <t>ET_a</t>
  </si>
  <si>
    <t>Perc.</t>
  </si>
  <si>
    <t>18,19,21,22</t>
  </si>
  <si>
    <t>Soil Texture</t>
  </si>
  <si>
    <t xml:space="preserve">Clay loam </t>
  </si>
  <si>
    <t xml:space="preserve">Silt loam </t>
  </si>
  <si>
    <t xml:space="preserve">Sandy loam </t>
  </si>
  <si>
    <t xml:space="preserve">Clay </t>
  </si>
  <si>
    <t>Percolation Rate (mm/day)</t>
  </si>
  <si>
    <t>Area (m2)</t>
  </si>
  <si>
    <t>type</t>
  </si>
  <si>
    <t>Area_m2</t>
  </si>
  <si>
    <t>Perc_mm/d</t>
  </si>
  <si>
    <t>Perc_mm/y</t>
  </si>
  <si>
    <t>Perc_2020</t>
  </si>
  <si>
    <t>Clay</t>
  </si>
  <si>
    <t>Clay Loam</t>
  </si>
  <si>
    <t>Loam</t>
  </si>
  <si>
    <t>Sandy Loam</t>
  </si>
  <si>
    <t>Silt Loam</t>
  </si>
  <si>
    <t>Area (km2)</t>
  </si>
  <si>
    <t>Weighted</t>
  </si>
  <si>
    <t xml:space="preserve">Average </t>
  </si>
  <si>
    <t>Note:Total (mm/month)</t>
  </si>
  <si>
    <t>Out</t>
  </si>
  <si>
    <t>Total CMS</t>
  </si>
  <si>
    <t>Total (mm)</t>
  </si>
  <si>
    <t>Water delivered</t>
  </si>
  <si>
    <t>Groundwater Abstraction</t>
  </si>
  <si>
    <t>In</t>
  </si>
  <si>
    <t xml:space="preserve">Net </t>
  </si>
  <si>
    <t xml:space="preserve">AVERAGE </t>
  </si>
  <si>
    <t>P_area_mm</t>
  </si>
  <si>
    <t>P_area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</si>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</sst>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2" fontId="0" fillId="0" borderId="0" xfId="0" applyNumberFormat="1"/>
    <xf numFmtId="0" fontId="1" fillId="0" borderId="0" xfId="0" applyFont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164" fontId="0" fillId="0" borderId="0" xfId="0" applyNumberFormat="1"/>
    <xf numFmtId="0" fontId="0" fillId="5" borderId="0" xfId="0" applyFill="1"/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98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10.5" bestFit="1" customWidth="1"/>
    <col min="5" max="5" width="8.6640625" style="4"/>
    <col min="7" max="7" width="8.6640625" style="4"/>
    <col min="9" max="9" width="8.6640625" style="4"/>
    <col min="11" max="11" width="8.6640625" style="4"/>
    <col min="13" max="13" width="8.6640625" style="4"/>
    <col min="15" max="15" width="8.6640625" style="4"/>
    <col min="17" max="17" width="8.6640625" style="4"/>
    <col min="18" max="18" width="8.83203125" customWidth="1"/>
    <col min="19" max="19" width="8.83203125" style="4" customWidth="1"/>
    <col min="21" max="21" width="8.6640625" style="4"/>
    <col min="23" max="23" width="8.6640625" style="4"/>
    <col min="25" max="25" width="8.6640625" style="4"/>
    <col min="27" max="27" width="8.6640625" style="4"/>
    <col min="29" max="29" width="8.6640625" style="4"/>
    <col min="31" max="31" width="8.6640625" style="4"/>
    <col min="33" max="33" width="8.6640625" style="4"/>
    <col min="35" max="35" width="8.6640625" style="4"/>
    <col min="37" max="37" width="8.6640625" style="4"/>
    <col min="39" max="39" width="8.6640625" style="4"/>
    <col min="41" max="41" width="8.6640625" style="4"/>
    <col min="43" max="43" width="8.6640625" style="4"/>
    <col min="45" max="45" width="8.6640625" style="4"/>
    <col min="47" max="47" width="8.6640625" style="4"/>
    <col min="49" max="49" width="8.6640625" style="4"/>
    <col min="51" max="51" width="8.6640625" style="4"/>
    <col min="53" max="53" width="8.6640625" style="4"/>
    <col min="55" max="55" width="8.6640625" style="4"/>
    <col min="57" max="57" width="8.6640625" style="4"/>
    <col min="59" max="59" width="8.6640625" style="4"/>
    <col min="61" max="61" width="8.6640625" style="4"/>
    <col min="63" max="63" width="8.6640625" style="4"/>
    <col min="65" max="65" width="8.6640625" style="4"/>
    <col min="67" max="67" width="8.6640625" style="4"/>
    <col min="69" max="69" width="8.6640625" style="4"/>
    <col min="71" max="71" width="8.6640625" style="4"/>
    <col min="73" max="73" width="8.6640625" style="4"/>
    <col min="75" max="75" width="8.6640625" style="4"/>
    <col min="77" max="77" width="8.6640625" style="4"/>
    <col min="79" max="79" width="8.6640625" style="4"/>
    <col min="81" max="81" width="8.6640625" style="4"/>
    <col min="83" max="83" width="8.6640625" style="4"/>
  </cols>
  <sheetData>
    <row r="1" spans="1:87" x14ac:dyDescent="0.2">
      <c r="A1" s="18" t="s">
        <v>0</v>
      </c>
      <c r="B1" s="18" t="s">
        <v>1</v>
      </c>
      <c r="C1" s="18" t="s">
        <v>2</v>
      </c>
      <c r="D1" s="14" t="s">
        <v>3</v>
      </c>
      <c r="E1" s="14"/>
      <c r="F1" s="14" t="s">
        <v>4</v>
      </c>
      <c r="G1" s="14"/>
      <c r="H1" s="14" t="s">
        <v>5</v>
      </c>
      <c r="I1" s="14"/>
      <c r="J1" s="14" t="s">
        <v>6</v>
      </c>
      <c r="K1" s="14"/>
      <c r="L1" s="14" t="s">
        <v>7</v>
      </c>
      <c r="M1" s="14"/>
      <c r="N1" s="14" t="s">
        <v>8</v>
      </c>
      <c r="O1" s="14"/>
      <c r="P1" s="14" t="s">
        <v>9</v>
      </c>
      <c r="Q1" s="14"/>
      <c r="R1" s="14" t="s">
        <v>10</v>
      </c>
      <c r="S1" s="14"/>
      <c r="T1" s="14" t="s">
        <v>11</v>
      </c>
      <c r="U1" s="14"/>
      <c r="V1" s="16" t="s">
        <v>12</v>
      </c>
      <c r="W1" s="17"/>
      <c r="X1" s="14" t="s">
        <v>13</v>
      </c>
      <c r="Y1" s="14"/>
      <c r="Z1" s="14" t="s">
        <v>13</v>
      </c>
      <c r="AA1" s="14"/>
      <c r="AB1" s="16" t="s">
        <v>13</v>
      </c>
      <c r="AC1" s="17"/>
      <c r="AD1" s="14" t="s">
        <v>14</v>
      </c>
      <c r="AE1" s="14"/>
      <c r="AF1" s="14" t="s">
        <v>14</v>
      </c>
      <c r="AG1" s="14"/>
      <c r="AH1" s="14" t="s">
        <v>15</v>
      </c>
      <c r="AI1" s="14"/>
      <c r="AJ1" s="14" t="s">
        <v>16</v>
      </c>
      <c r="AK1" s="14"/>
      <c r="AL1" s="14" t="s">
        <v>17</v>
      </c>
      <c r="AM1" s="14"/>
      <c r="AN1" s="14" t="s">
        <v>18</v>
      </c>
      <c r="AO1" s="14"/>
      <c r="AP1" s="14" t="s">
        <v>19</v>
      </c>
      <c r="AQ1" s="14"/>
      <c r="AR1" s="14" t="s">
        <v>20</v>
      </c>
      <c r="AS1" s="14"/>
      <c r="AT1" s="14" t="s">
        <v>21</v>
      </c>
      <c r="AU1" s="14"/>
      <c r="AV1" s="14" t="s">
        <v>22</v>
      </c>
      <c r="AW1" s="14"/>
      <c r="AX1" s="14" t="s">
        <v>23</v>
      </c>
      <c r="AY1" s="14"/>
      <c r="AZ1" s="14" t="s">
        <v>24</v>
      </c>
      <c r="BA1" s="14"/>
      <c r="BB1" s="14" t="s">
        <v>25</v>
      </c>
      <c r="BC1" s="14"/>
      <c r="BD1" s="14" t="s">
        <v>26</v>
      </c>
      <c r="BE1" s="14"/>
      <c r="BF1" s="14" t="s">
        <v>27</v>
      </c>
      <c r="BG1" s="14"/>
      <c r="BH1" s="14" t="s">
        <v>28</v>
      </c>
      <c r="BI1" s="14"/>
      <c r="BJ1" s="14" t="s">
        <v>29</v>
      </c>
      <c r="BK1" s="14"/>
      <c r="BL1" s="14" t="s">
        <v>30</v>
      </c>
      <c r="BM1" s="14"/>
      <c r="BN1" s="14" t="s">
        <v>31</v>
      </c>
      <c r="BO1" s="14"/>
      <c r="BP1" s="14" t="s">
        <v>32</v>
      </c>
      <c r="BQ1" s="14"/>
      <c r="BR1" s="14" t="s">
        <v>33</v>
      </c>
      <c r="BS1" s="14"/>
      <c r="BT1" s="14" t="s">
        <v>34</v>
      </c>
      <c r="BU1" s="14"/>
      <c r="BV1" s="14" t="s">
        <v>35</v>
      </c>
      <c r="BW1" s="14"/>
      <c r="BX1" s="14" t="s">
        <v>36</v>
      </c>
      <c r="BY1" s="14"/>
      <c r="BZ1" s="14" t="s">
        <v>37</v>
      </c>
      <c r="CA1" s="14"/>
      <c r="CB1" s="14" t="s">
        <v>38</v>
      </c>
      <c r="CC1" s="14"/>
      <c r="CD1" s="14" t="s">
        <v>39</v>
      </c>
      <c r="CE1" s="14"/>
      <c r="CF1" s="14"/>
      <c r="CG1" s="14"/>
    </row>
    <row r="2" spans="1:87" x14ac:dyDescent="0.2">
      <c r="A2" s="19"/>
      <c r="B2" s="19"/>
      <c r="C2" s="19"/>
      <c r="D2" s="1" t="s">
        <v>40</v>
      </c>
      <c r="E2" s="3" t="s">
        <v>41</v>
      </c>
      <c r="F2" s="1" t="s">
        <v>40</v>
      </c>
      <c r="G2" s="3" t="s">
        <v>41</v>
      </c>
      <c r="H2" s="1" t="s">
        <v>40</v>
      </c>
      <c r="I2" s="3" t="s">
        <v>41</v>
      </c>
      <c r="J2" s="1" t="s">
        <v>40</v>
      </c>
      <c r="K2" s="3" t="s">
        <v>41</v>
      </c>
      <c r="L2" s="1" t="s">
        <v>40</v>
      </c>
      <c r="M2" s="3" t="s">
        <v>41</v>
      </c>
      <c r="N2" s="1" t="s">
        <v>40</v>
      </c>
      <c r="O2" s="3" t="s">
        <v>41</v>
      </c>
      <c r="P2" s="1" t="s">
        <v>40</v>
      </c>
      <c r="Q2" s="3" t="s">
        <v>41</v>
      </c>
      <c r="R2" s="1" t="s">
        <v>40</v>
      </c>
      <c r="S2" s="3" t="s">
        <v>41</v>
      </c>
      <c r="T2" s="1" t="s">
        <v>40</v>
      </c>
      <c r="U2" s="3" t="s">
        <v>41</v>
      </c>
      <c r="V2" s="1" t="s">
        <v>40</v>
      </c>
      <c r="W2" s="3" t="s">
        <v>41</v>
      </c>
      <c r="X2" s="1" t="s">
        <v>40</v>
      </c>
      <c r="Y2" s="3" t="s">
        <v>41</v>
      </c>
      <c r="Z2" s="1" t="s">
        <v>40</v>
      </c>
      <c r="AA2" s="3" t="s">
        <v>41</v>
      </c>
      <c r="AB2" s="1" t="s">
        <v>40</v>
      </c>
      <c r="AC2" s="3" t="s">
        <v>41</v>
      </c>
      <c r="AD2" s="1" t="s">
        <v>40</v>
      </c>
      <c r="AE2" s="3" t="s">
        <v>41</v>
      </c>
      <c r="AF2" s="1" t="s">
        <v>40</v>
      </c>
      <c r="AG2" s="3" t="s">
        <v>41</v>
      </c>
      <c r="AH2" s="1" t="s">
        <v>40</v>
      </c>
      <c r="AI2" s="3" t="s">
        <v>41</v>
      </c>
      <c r="AJ2" s="1" t="s">
        <v>40</v>
      </c>
      <c r="AK2" s="3" t="s">
        <v>41</v>
      </c>
      <c r="AL2" s="1" t="s">
        <v>40</v>
      </c>
      <c r="AM2" s="3" t="s">
        <v>41</v>
      </c>
      <c r="AN2" s="1" t="s">
        <v>40</v>
      </c>
      <c r="AO2" s="3" t="s">
        <v>41</v>
      </c>
      <c r="AP2" s="1" t="s">
        <v>40</v>
      </c>
      <c r="AQ2" s="3" t="s">
        <v>41</v>
      </c>
      <c r="AR2" s="1" t="s">
        <v>40</v>
      </c>
      <c r="AS2" s="3" t="s">
        <v>41</v>
      </c>
      <c r="AT2" s="1" t="s">
        <v>40</v>
      </c>
      <c r="AU2" s="3" t="s">
        <v>41</v>
      </c>
      <c r="AV2" s="1" t="s">
        <v>40</v>
      </c>
      <c r="AW2" s="3" t="s">
        <v>41</v>
      </c>
      <c r="AX2" s="1" t="s">
        <v>40</v>
      </c>
      <c r="AY2" s="3" t="s">
        <v>41</v>
      </c>
      <c r="AZ2" s="1" t="s">
        <v>40</v>
      </c>
      <c r="BA2" s="3" t="s">
        <v>41</v>
      </c>
      <c r="BB2" s="1" t="s">
        <v>40</v>
      </c>
      <c r="BC2" s="3" t="s">
        <v>41</v>
      </c>
      <c r="BD2" s="1" t="s">
        <v>40</v>
      </c>
      <c r="BE2" s="3" t="s">
        <v>41</v>
      </c>
      <c r="BF2" s="1" t="s">
        <v>40</v>
      </c>
      <c r="BG2" s="3" t="s">
        <v>41</v>
      </c>
      <c r="BH2" s="1" t="s">
        <v>40</v>
      </c>
      <c r="BI2" s="3" t="s">
        <v>41</v>
      </c>
      <c r="BJ2" s="1" t="s">
        <v>40</v>
      </c>
      <c r="BK2" s="3" t="s">
        <v>41</v>
      </c>
      <c r="BL2" s="1" t="s">
        <v>40</v>
      </c>
      <c r="BM2" s="3" t="s">
        <v>41</v>
      </c>
      <c r="BN2" s="1" t="s">
        <v>40</v>
      </c>
      <c r="BO2" s="3" t="s">
        <v>41</v>
      </c>
      <c r="BP2" s="1" t="s">
        <v>40</v>
      </c>
      <c r="BQ2" s="3" t="s">
        <v>41</v>
      </c>
      <c r="BR2" s="1" t="s">
        <v>40</v>
      </c>
      <c r="BS2" s="3" t="s">
        <v>41</v>
      </c>
      <c r="BT2" s="1" t="s">
        <v>40</v>
      </c>
      <c r="BU2" s="3" t="s">
        <v>41</v>
      </c>
      <c r="BV2" s="1" t="s">
        <v>40</v>
      </c>
      <c r="BW2" s="3" t="s">
        <v>41</v>
      </c>
      <c r="BX2" s="1" t="s">
        <v>40</v>
      </c>
      <c r="BY2" s="3" t="s">
        <v>41</v>
      </c>
      <c r="BZ2" s="1" t="s">
        <v>40</v>
      </c>
      <c r="CA2" s="3" t="s">
        <v>41</v>
      </c>
      <c r="CB2" s="1" t="s">
        <v>40</v>
      </c>
      <c r="CC2" s="3" t="s">
        <v>41</v>
      </c>
      <c r="CD2" s="1" t="s">
        <v>40</v>
      </c>
      <c r="CE2" s="3" t="s">
        <v>41</v>
      </c>
      <c r="CH2" s="15" t="s">
        <v>42</v>
      </c>
      <c r="CI2" s="15"/>
    </row>
    <row r="3" spans="1:87" x14ac:dyDescent="0.2">
      <c r="A3" s="2">
        <v>42005</v>
      </c>
      <c r="B3">
        <v>2015</v>
      </c>
      <c r="C3">
        <v>1</v>
      </c>
      <c r="D3">
        <v>42.864185337999999</v>
      </c>
      <c r="E3" s="4">
        <f xml:space="preserve"> D3 * VLOOKUP(C3, $CH$4:$CI$15, 2, FALSE)</f>
        <v>95.820682686863606</v>
      </c>
      <c r="F3">
        <v>43.405323029999998</v>
      </c>
      <c r="G3" s="4">
        <f xml:space="preserve"> F3 * VLOOKUP(C3, $CH$4:$CI$15, 2, FALSE)</f>
        <v>97.030368177586453</v>
      </c>
      <c r="H3">
        <v>55.27350998</v>
      </c>
      <c r="I3" s="4">
        <f xml:space="preserve"> H3 * VLOOKUP(C3, $CH$4:$CI$15, 2, FALSE)</f>
        <v>123.56108996401356</v>
      </c>
      <c r="J3">
        <v>43.080883030000003</v>
      </c>
      <c r="K3" s="4">
        <f xml:space="preserve"> J3 * VLOOKUP(C3, $CH$4:$CI$15, 2, FALSE)</f>
        <v>96.305099236959578</v>
      </c>
      <c r="L3">
        <v>58.719772339999999</v>
      </c>
      <c r="M3" s="4">
        <f xml:space="preserve"> L3 * VLOOKUP(C3, $CH$4:$CI$15, 2, FALSE)</f>
        <v>131.26503229837286</v>
      </c>
      <c r="N3">
        <v>41.949992662</v>
      </c>
      <c r="O3" s="4">
        <f xml:space="preserve"> N3 * VLOOKUP(C3, $CH$4:$CI$15, 2, FALSE)</f>
        <v>93.777051958065115</v>
      </c>
      <c r="P3">
        <v>16.834236145999999</v>
      </c>
      <c r="Q3" s="4">
        <f xml:space="preserve"> P3 * VLOOKUP(C3, $CH$4:$CI$15, 2, FALSE)</f>
        <v>37.632069460832071</v>
      </c>
      <c r="R3">
        <v>33.86330796</v>
      </c>
      <c r="S3" s="4">
        <f xml:space="preserve"> R3 * VLOOKUP(C3, $CH$4:$CI$15, 2, FALSE)</f>
        <v>75.699684041028874</v>
      </c>
      <c r="T3">
        <v>24.398468980000001</v>
      </c>
      <c r="U3" s="4">
        <f xml:space="preserve"> T3 * VLOOKUP(C3, $CH$4:$CI$15, 2, FALSE)</f>
        <v>54.541523086064274</v>
      </c>
      <c r="V3">
        <v>14.765007019</v>
      </c>
      <c r="W3" s="4">
        <f xml:space="preserve"> V3 * VLOOKUP(C3, $CH$4:$CI$15, 2, FALSE)</f>
        <v>33.00641412593626</v>
      </c>
      <c r="X3">
        <v>30.108318319999999</v>
      </c>
      <c r="Y3" s="4">
        <f xml:space="preserve"> X3 * VLOOKUP(C3, $CH$4:$CI$15, 2, FALSE)</f>
        <v>67.305597743815966</v>
      </c>
      <c r="Z3">
        <v>14.710202693999999</v>
      </c>
      <c r="AA3" s="4">
        <f xml:space="preserve"> Z3 * VLOOKUP(C3, $CH$4:$CI$15, 2, FALSE)</f>
        <v>32.883901874874361</v>
      </c>
      <c r="AB3">
        <v>4.058528066</v>
      </c>
      <c r="AC3" s="4">
        <f xml:space="preserve"> AB3 * VLOOKUP(C3, $CH$4:$CI$15, 2, FALSE)</f>
        <v>9.0726308437070955</v>
      </c>
      <c r="AD3">
        <v>29.482885360000001</v>
      </c>
      <c r="AE3" s="4">
        <f xml:space="preserve"> AD3 * VLOOKUP(C3, $CH$4:$CI$15, 2, FALSE)</f>
        <v>65.907474515076174</v>
      </c>
      <c r="AF3">
        <v>13.137649536</v>
      </c>
      <c r="AG3" s="4">
        <f xml:space="preserve"> AF3 * VLOOKUP(C3, $CH$4:$CI$15, 2, FALSE)</f>
        <v>29.368540134700108</v>
      </c>
      <c r="AH3">
        <v>1.0746408700000001</v>
      </c>
      <c r="AI3" s="4">
        <f xml:space="preserve"> AH3 * VLOOKUP(C3, $CH$4:$CI$15, 2, FALSE)</f>
        <v>2.4023044178870112</v>
      </c>
      <c r="AJ3">
        <v>31.556986810000001</v>
      </c>
      <c r="AK3" s="4">
        <f>AJ3 * VLOOKUP(C3, $CH$4:$CI$15, 2, FALSE)</f>
        <v>70.544021677553673</v>
      </c>
      <c r="AL3">
        <v>21.484905244</v>
      </c>
      <c r="AM3" s="4">
        <f xml:space="preserve"> AL3 * VLOOKUP(C3, $CH$4:$CI$15, 2, FALSE)</f>
        <v>48.028401139764036</v>
      </c>
      <c r="AN3">
        <v>11.01602602</v>
      </c>
      <c r="AO3" s="4">
        <f xml:space="preserve"> AN3 * VLOOKUP(C3, $CH$4:$CI$15, 2, FALSE)</f>
        <v>24.625759836776233</v>
      </c>
      <c r="AP3">
        <v>32.724507340000002</v>
      </c>
      <c r="AQ3" s="4">
        <f xml:space="preserve"> AP3 * VLOOKUP(C3, $CH$4:$CI$15, 2, FALSE)</f>
        <v>73.153953800452356</v>
      </c>
      <c r="AR3">
        <v>25.690478803000001</v>
      </c>
      <c r="AS3" s="4">
        <f>AR3 * VLOOKUP(C3, $CH$4:$CI$15, 2, FALSE)</f>
        <v>57.429744623503403</v>
      </c>
      <c r="AT3">
        <v>5.956633568</v>
      </c>
      <c r="AU3" s="4">
        <f xml:space="preserve"> AT3 * VLOOKUP(C3, $CH$4:$CI$15, 2, FALSE)</f>
        <v>13.315748112334933</v>
      </c>
      <c r="AV3">
        <v>5.0440068240000002</v>
      </c>
      <c r="AW3" s="4">
        <f xml:space="preserve"> AV3 * VLOOKUP(C3, $CH$4:$CI$15, 2, FALSE)</f>
        <v>11.275617944018295</v>
      </c>
      <c r="AX3">
        <v>8.5110568999999998</v>
      </c>
      <c r="AY3" s="4">
        <f>AX3 * VLOOKUP(C3, $CH$4:$CI$15, 2, FALSE)</f>
        <v>19.026030148804715</v>
      </c>
      <c r="AZ3">
        <v>7.8194026939999999</v>
      </c>
      <c r="BA3" s="4">
        <f xml:space="preserve"> AZ3 * VLOOKUP(C3, $CH$4:$CI$15, 2, FALSE)</f>
        <v>17.479872729048353</v>
      </c>
      <c r="BB3">
        <v>8.9772975439999989</v>
      </c>
      <c r="BC3" s="4">
        <f xml:space="preserve"> BB3 * VLOOKUP(C3, $CH$4:$CI$15, 2, FALSE)</f>
        <v>20.068287139160649</v>
      </c>
      <c r="BD3">
        <v>6.7614979740000001</v>
      </c>
      <c r="BE3" s="4">
        <f xml:space="preserve"> BD3 * VLOOKUP(C3, $CH$4:$CI$15, 2, FALSE)</f>
        <v>15.114981114085374</v>
      </c>
      <c r="BF3">
        <v>6.1939220419999996</v>
      </c>
      <c r="BG3" s="4">
        <f xml:space="preserve"> BF3 * VLOOKUP(C3, $CH$4:$CI$15, 2, FALSE)</f>
        <v>13.846194297025328</v>
      </c>
      <c r="BH3">
        <v>5.4403386119999997</v>
      </c>
      <c r="BI3" s="4">
        <f xml:space="preserve"> BH3 * VLOOKUP(C3, $CH$4:$CI$15, 2, FALSE)</f>
        <v>12.161597280781708</v>
      </c>
      <c r="BJ3">
        <v>7.8717050549999996</v>
      </c>
      <c r="BK3" s="4">
        <f xml:space="preserve"> BJ3 * VLOOKUP(C3, $CH$4:$CI$15, 2, FALSE)</f>
        <v>17.596791968213545</v>
      </c>
      <c r="BL3">
        <v>6.6212704179999999</v>
      </c>
      <c r="BM3" s="4">
        <f xml:space="preserve"> BL3 * VLOOKUP(C3, $CH$4:$CI$15, 2, FALSE)</f>
        <v>14.801509621708298</v>
      </c>
      <c r="BN3">
        <v>7.1140651710000009</v>
      </c>
      <c r="BO3" s="4">
        <f xml:space="preserve"> BN3 * VLOOKUP(C3, $CH$4:$CI$15, 2, FALSE)</f>
        <v>15.903126957594138</v>
      </c>
      <c r="BP3">
        <v>7.9345808030000002</v>
      </c>
      <c r="BQ3" s="4">
        <f xml:space="preserve"> BP3 * VLOOKUP(C3, $CH$4:$CI$15, 2, FALSE)</f>
        <v>17.737347470442259</v>
      </c>
      <c r="BR3">
        <v>4.6901869779999998</v>
      </c>
      <c r="BS3" s="4">
        <f xml:space="preserve"> BR3 * VLOOKUP(C3, $CH$4:$CI$15, 2, FALSE)</f>
        <v>10.48467186806838</v>
      </c>
      <c r="BT3">
        <v>11.679107666</v>
      </c>
      <c r="BU3" s="4">
        <f xml:space="preserve"> BT3 * VLOOKUP(C3, $CH$4:$CI$15, 2, FALSE)</f>
        <v>26.108044767560216</v>
      </c>
      <c r="BV3">
        <v>12.763432502000001</v>
      </c>
      <c r="BW3" s="4">
        <f xml:space="preserve"> BV3 * VLOOKUP(C3, $CH$4:$CI$15, 2, FALSE)</f>
        <v>28.531997193590144</v>
      </c>
      <c r="BX3">
        <v>4.552589416</v>
      </c>
      <c r="BY3" s="4">
        <f xml:space="preserve"> BX3 * VLOOKUP(C3, $CH$4:$CI$15, 2, FALSE)</f>
        <v>10.177079592071022</v>
      </c>
      <c r="BZ3">
        <v>4.6164603240000002</v>
      </c>
      <c r="CA3" s="4">
        <f xml:space="preserve"> BZ3 * VLOOKUP(C3, $CH$4:$CI$15, 2, FALSE)</f>
        <v>10.319859723318826</v>
      </c>
      <c r="CB3">
        <v>5.0809812540000001</v>
      </c>
      <c r="CC3" s="4">
        <f xml:space="preserve"> CB3 * VLOOKUP(C3, $CH$4:$CI$15, 2, FALSE)</f>
        <v>11.358272381437796</v>
      </c>
      <c r="CD3">
        <v>6.985588312</v>
      </c>
      <c r="CE3" s="4">
        <f xml:space="preserve"> CD3 * VLOOKUP(C3, $CH$4:$CI$15, 2, FALSE)</f>
        <v>15.61592354426039</v>
      </c>
      <c r="CH3" t="s">
        <v>2</v>
      </c>
      <c r="CI3" t="s">
        <v>43</v>
      </c>
    </row>
    <row r="4" spans="1:87" x14ac:dyDescent="0.2">
      <c r="A4" s="2">
        <v>42006</v>
      </c>
      <c r="B4">
        <v>2015</v>
      </c>
      <c r="C4">
        <v>2</v>
      </c>
      <c r="D4">
        <v>14.401901244999999</v>
      </c>
      <c r="E4" s="4">
        <f t="shared" ref="E4:E67" si="0" xml:space="preserve"> D4 * VLOOKUP(C4, $CH$4:$CI$15, 2, FALSE)</f>
        <v>3.6271554086819928</v>
      </c>
      <c r="F4">
        <v>16.097366333</v>
      </c>
      <c r="G4" s="4">
        <f t="shared" ref="G4:G67" si="1" xml:space="preserve"> F4 * VLOOKUP(C4, $CH$4:$CI$15, 2, FALSE)</f>
        <v>4.0541625974936597</v>
      </c>
      <c r="H4">
        <v>19.933531762000001</v>
      </c>
      <c r="I4" s="4">
        <f t="shared" ref="I4:I67" si="2" xml:space="preserve"> H4 * VLOOKUP(C4, $CH$4:$CI$15, 2, FALSE)</f>
        <v>5.0203106044609322</v>
      </c>
      <c r="J4">
        <v>14.218844413999999</v>
      </c>
      <c r="K4" s="4">
        <f t="shared" ref="K4:K67" si="3" xml:space="preserve"> J4 * VLOOKUP(C4, $CH$4:$CI$15, 2, FALSE)</f>
        <v>3.581052080839195</v>
      </c>
      <c r="L4">
        <v>19.728839873999998</v>
      </c>
      <c r="M4" s="4">
        <f t="shared" ref="M4:M67" si="4" xml:space="preserve"> L4 * VLOOKUP(C4, $CH$4:$CI$15, 2, FALSE)</f>
        <v>4.9687584325606906</v>
      </c>
      <c r="N4">
        <v>13.863987923</v>
      </c>
      <c r="O4" s="4">
        <f t="shared" ref="O4:O67" si="5" xml:space="preserve"> N4 * VLOOKUP(C4, $CH$4:$CI$15, 2, FALSE)</f>
        <v>3.4916805722626161</v>
      </c>
      <c r="P4">
        <v>0</v>
      </c>
      <c r="Q4" s="4">
        <f t="shared" ref="Q4:Q67" si="6" xml:space="preserve"> P4 * VLOOKUP(C4, $CH$4:$CI$15, 2, FALSE)</f>
        <v>0</v>
      </c>
      <c r="R4">
        <v>10.445307731</v>
      </c>
      <c r="S4" s="4">
        <f t="shared" ref="S4:S67" si="7" xml:space="preserve"> R4 * VLOOKUP(C4, $CH$4:$CI$15, 2, FALSE)</f>
        <v>2.6306772826259914</v>
      </c>
      <c r="T4">
        <v>9.5044741630000011</v>
      </c>
      <c r="U4" s="4">
        <f t="shared" ref="U4:U67" si="8" xml:space="preserve"> T4 * VLOOKUP(C4, $CH$4:$CI$15, 2, FALSE)</f>
        <v>2.3937259588536857</v>
      </c>
      <c r="V4">
        <v>5.4444463259999996</v>
      </c>
      <c r="W4" s="4">
        <f t="shared" ref="W4:W67" si="9" xml:space="preserve"> V4 * VLOOKUP(C4, $CH$4:$CI$15, 2, FALSE)</f>
        <v>1.3711976358319837</v>
      </c>
      <c r="X4">
        <v>9.6728029249999992</v>
      </c>
      <c r="Y4" s="4">
        <f t="shared" ref="Y4:Y67" si="10" xml:space="preserve"> X4 * VLOOKUP(C4, $CH$4:$CI$15, 2, FALSE)</f>
        <v>2.436119985110254</v>
      </c>
      <c r="Z4">
        <v>5.9729523660000003</v>
      </c>
      <c r="AA4" s="4">
        <f t="shared" ref="AA4:AA67" si="11" xml:space="preserve"> Z4 * VLOOKUP(C4, $CH$4:$CI$15, 2, FALSE)</f>
        <v>1.5043032243856223</v>
      </c>
      <c r="AB4">
        <v>0</v>
      </c>
      <c r="AC4" s="4">
        <f t="shared" ref="AC4:AC67" si="12" xml:space="preserve"> AB4 * VLOOKUP(C4, $CH$4:$CI$15, 2, FALSE)</f>
        <v>0</v>
      </c>
      <c r="AD4">
        <v>9.4731726639999998</v>
      </c>
      <c r="AE4" s="4">
        <f t="shared" ref="AE4:AE67" si="13" xml:space="preserve"> AD4 * VLOOKUP(C4, $CH$4:$CI$15, 2, FALSE)</f>
        <v>2.38584259682625</v>
      </c>
      <c r="AF4">
        <v>5.395749092</v>
      </c>
      <c r="AG4" s="4">
        <f t="shared" ref="AG4:AG67" si="14" xml:space="preserve"> AF4 * VLOOKUP(C4, $CH$4:$CI$15, 2, FALSE)</f>
        <v>1.3589331137604779</v>
      </c>
      <c r="AH4">
        <v>0</v>
      </c>
      <c r="AI4" s="4">
        <f t="shared" ref="AI4:AI67" si="15" xml:space="preserve"> AH4 * VLOOKUP(C4, $CH$4:$CI$15, 2, FALSE)</f>
        <v>0</v>
      </c>
      <c r="AJ4">
        <v>11.229887485000001</v>
      </c>
      <c r="AK4" s="4">
        <f t="shared" ref="AK4:AK67" si="16">AJ4 * VLOOKUP(C4, $CH$4:$CI$15, 2, FALSE)</f>
        <v>2.82827568646531</v>
      </c>
      <c r="AL4">
        <v>8.4118647580000001</v>
      </c>
      <c r="AM4" s="4">
        <f t="shared" ref="AM4:AM67" si="17" xml:space="preserve"> AL4 * VLOOKUP(C4, $CH$4:$CI$15, 2, FALSE)</f>
        <v>2.1185495050296845</v>
      </c>
      <c r="AN4">
        <v>5.0640368470000006</v>
      </c>
      <c r="AO4" s="4">
        <f t="shared" ref="AO4:AO67" si="18" xml:space="preserve"> AN4 * VLOOKUP(C4, $CH$4:$CI$15, 2, FALSE)</f>
        <v>1.2753905423242582</v>
      </c>
      <c r="AP4">
        <v>12.275430678999999</v>
      </c>
      <c r="AQ4" s="4">
        <f t="shared" ref="AQ4:AQ67" si="19" xml:space="preserve"> AP4 * VLOOKUP(C4, $CH$4:$CI$15, 2, FALSE)</f>
        <v>3.0915983955030737</v>
      </c>
      <c r="AR4">
        <v>11.844187736</v>
      </c>
      <c r="AS4" s="4">
        <f t="shared" ref="AS4:AS67" si="20">AR4 * VLOOKUP(C4, $CH$4:$CI$15, 2, FALSE)</f>
        <v>2.9829887649724216</v>
      </c>
      <c r="AT4">
        <v>0</v>
      </c>
      <c r="AU4" s="4">
        <f t="shared" ref="AU4:AU67" si="21" xml:space="preserve"> AT4 * VLOOKUP(C4, $CH$4:$CI$15, 2, FALSE)</f>
        <v>0</v>
      </c>
      <c r="AV4">
        <v>0</v>
      </c>
      <c r="AW4" s="4">
        <f t="shared" ref="AW4:AW67" si="22" xml:space="preserve"> AV4 * VLOOKUP(C4, $CH$4:$CI$15, 2, FALSE)</f>
        <v>0</v>
      </c>
      <c r="AX4">
        <v>0</v>
      </c>
      <c r="AY4" s="4">
        <f t="shared" ref="AY4:AY67" si="23">AX4 * VLOOKUP(C4, $CH$4:$CI$15, 2, FALSE)</f>
        <v>0</v>
      </c>
      <c r="AZ4">
        <v>0</v>
      </c>
      <c r="BA4" s="4">
        <f t="shared" ref="BA4:BA67" si="24" xml:space="preserve"> AZ4 * VLOOKUP(C4, $CH$4:$CI$15, 2, FALSE)</f>
        <v>0</v>
      </c>
      <c r="BB4">
        <v>0</v>
      </c>
      <c r="BC4" s="4">
        <f t="shared" ref="BC4:BC67" si="25" xml:space="preserve"> BB4 * VLOOKUP(C4, $CH$4:$CI$15, 2, FALSE)</f>
        <v>0</v>
      </c>
      <c r="BD4">
        <v>0</v>
      </c>
      <c r="BE4" s="4">
        <f t="shared" ref="BE4:BE67" si="26" xml:space="preserve"> BD4 * VLOOKUP(C4, $CH$4:$CI$15, 2, FALSE)</f>
        <v>0</v>
      </c>
      <c r="BF4">
        <v>0</v>
      </c>
      <c r="BG4" s="4">
        <f t="shared" ref="BG4:BG67" si="27" xml:space="preserve"> BF4 * VLOOKUP(C4, $CH$4:$CI$15, 2, FALSE)</f>
        <v>0</v>
      </c>
      <c r="BH4">
        <v>0</v>
      </c>
      <c r="BI4" s="4">
        <f t="shared" ref="BI4:BI67" si="28" xml:space="preserve"> BH4 * VLOOKUP(C4, $CH$4:$CI$15, 2, FALSE)</f>
        <v>0</v>
      </c>
      <c r="BJ4">
        <v>0</v>
      </c>
      <c r="BK4" s="4">
        <f t="shared" ref="BK4:BK67" si="29" xml:space="preserve"> BJ4 * VLOOKUP(C4, $CH$4:$CI$15, 2, FALSE)</f>
        <v>0</v>
      </c>
      <c r="BL4">
        <v>0</v>
      </c>
      <c r="BM4" s="4">
        <f t="shared" ref="BM4:BM67" si="30" xml:space="preserve"> BL4 * VLOOKUP(C4, $CH$4:$CI$15, 2, FALSE)</f>
        <v>0</v>
      </c>
      <c r="BN4">
        <v>5.3966689109999999</v>
      </c>
      <c r="BO4" s="4">
        <f t="shared" ref="BO4:BO67" si="31" xml:space="preserve"> BN4 * VLOOKUP(C4, $CH$4:$CI$15, 2, FALSE)</f>
        <v>1.3591647725119234</v>
      </c>
      <c r="BP4">
        <v>5.8180849549999998</v>
      </c>
      <c r="BQ4" s="4">
        <f t="shared" ref="BQ4:BQ67" si="32" xml:space="preserve"> BP4 * VLOOKUP(C4, $CH$4:$CI$15, 2, FALSE)</f>
        <v>1.4652994735695801</v>
      </c>
      <c r="BR4">
        <v>0</v>
      </c>
      <c r="BS4" s="4">
        <f t="shared" ref="BS4:BS67" si="33" xml:space="preserve"> BR4 * VLOOKUP(C4, $CH$4:$CI$15, 2, FALSE)</f>
        <v>0</v>
      </c>
      <c r="BT4">
        <v>0</v>
      </c>
      <c r="BU4" s="4">
        <f t="shared" ref="BU4:BU67" si="34" xml:space="preserve"> BT4 * VLOOKUP(C4, $CH$4:$CI$15, 2, FALSE)</f>
        <v>0</v>
      </c>
      <c r="BV4">
        <v>0</v>
      </c>
      <c r="BW4" s="4">
        <f t="shared" ref="BW4:BW67" si="35" xml:space="preserve"> BV4 * VLOOKUP(C4, $CH$4:$CI$15, 2, FALSE)</f>
        <v>0</v>
      </c>
      <c r="BX4">
        <v>0</v>
      </c>
      <c r="BY4" s="4">
        <f t="shared" ref="BY4:BY67" si="36" xml:space="preserve"> BX4 * VLOOKUP(C4, $CH$4:$CI$15, 2, FALSE)</f>
        <v>0</v>
      </c>
      <c r="BZ4">
        <v>0</v>
      </c>
      <c r="CA4" s="4">
        <f t="shared" ref="CA4:CA67" si="37" xml:space="preserve"> BZ4 * VLOOKUP(C4, $CH$4:$CI$15, 2, FALSE)</f>
        <v>0</v>
      </c>
      <c r="CB4">
        <v>0</v>
      </c>
      <c r="CC4" s="4">
        <f t="shared" ref="CC4:CC67" si="38" xml:space="preserve"> CB4 * VLOOKUP(C4, $CH$4:$CI$15, 2, FALSE)</f>
        <v>0</v>
      </c>
      <c r="CD4">
        <v>0</v>
      </c>
      <c r="CE4" s="4">
        <f t="shared" ref="CE4:CE67" si="39" xml:space="preserve"> CD4 * VLOOKUP(C4, $CH$4:$CI$15, 2, FALSE)</f>
        <v>0</v>
      </c>
      <c r="CH4">
        <v>1</v>
      </c>
      <c r="CI4">
        <v>2.2354485902690553</v>
      </c>
    </row>
    <row r="5" spans="1:87" x14ac:dyDescent="0.2">
      <c r="A5" s="2">
        <v>42007</v>
      </c>
      <c r="B5">
        <v>2015</v>
      </c>
      <c r="C5">
        <v>3</v>
      </c>
      <c r="D5">
        <v>16.318103313999998</v>
      </c>
      <c r="E5" s="4">
        <f t="shared" si="0"/>
        <v>1.4645904632346638</v>
      </c>
      <c r="F5">
        <v>17.241560459999999</v>
      </c>
      <c r="G5" s="4">
        <f t="shared" si="1"/>
        <v>1.5474730448198133</v>
      </c>
      <c r="H5">
        <v>23.226202486999998</v>
      </c>
      <c r="I5" s="4">
        <f t="shared" si="2"/>
        <v>2.0846095900393582</v>
      </c>
      <c r="J5">
        <v>17.104238986999999</v>
      </c>
      <c r="K5" s="4">
        <f t="shared" si="3"/>
        <v>1.5351481001934002</v>
      </c>
      <c r="L5">
        <v>25.455003738999999</v>
      </c>
      <c r="M5" s="4">
        <f t="shared" si="4"/>
        <v>2.2846500601425297</v>
      </c>
      <c r="N5">
        <v>16.299939632000001</v>
      </c>
      <c r="O5" s="4">
        <f t="shared" si="5"/>
        <v>1.4629602274822282</v>
      </c>
      <c r="P5">
        <v>7.9682362080000004</v>
      </c>
      <c r="Q5" s="4">
        <f t="shared" si="6"/>
        <v>0.71516906925240364</v>
      </c>
      <c r="R5">
        <v>11.588757038000001</v>
      </c>
      <c r="S5" s="4">
        <f t="shared" si="7"/>
        <v>1.0401198418713722</v>
      </c>
      <c r="T5">
        <v>10.619563102000001</v>
      </c>
      <c r="U5" s="4">
        <f t="shared" si="8"/>
        <v>0.95313226933451733</v>
      </c>
      <c r="V5">
        <v>8.2457284919999996</v>
      </c>
      <c r="W5" s="4">
        <f t="shared" si="9"/>
        <v>0.74007469369583545</v>
      </c>
      <c r="X5">
        <v>11.171628952000001</v>
      </c>
      <c r="Y5" s="4">
        <f t="shared" si="10"/>
        <v>1.0026815560027693</v>
      </c>
      <c r="Z5">
        <v>8.3774259089999994</v>
      </c>
      <c r="AA5" s="4">
        <f t="shared" si="11"/>
        <v>0.75189486527210903</v>
      </c>
      <c r="AB5">
        <v>5.1024255759999999</v>
      </c>
      <c r="AC5" s="4">
        <f t="shared" si="12"/>
        <v>0.45795541884839408</v>
      </c>
      <c r="AD5">
        <v>10.792669296</v>
      </c>
      <c r="AE5" s="4">
        <f t="shared" si="13"/>
        <v>0.96866898190341821</v>
      </c>
      <c r="AF5">
        <v>8.0198955529999996</v>
      </c>
      <c r="AG5" s="4">
        <f t="shared" si="14"/>
        <v>0.71980562428383532</v>
      </c>
      <c r="AH5">
        <v>0</v>
      </c>
      <c r="AI5" s="4">
        <f t="shared" si="15"/>
        <v>0</v>
      </c>
      <c r="AJ5">
        <v>12.891533375</v>
      </c>
      <c r="AK5" s="4">
        <f t="shared" si="16"/>
        <v>1.1570472667186584</v>
      </c>
      <c r="AL5">
        <v>9.9229760169999999</v>
      </c>
      <c r="AM5" s="4">
        <f t="shared" si="17"/>
        <v>0.8906118414470342</v>
      </c>
      <c r="AN5">
        <v>7.1737773419999993</v>
      </c>
      <c r="AO5" s="4">
        <f t="shared" si="18"/>
        <v>0.64386440496721298</v>
      </c>
      <c r="AP5">
        <v>14.729402065</v>
      </c>
      <c r="AQ5" s="4">
        <f t="shared" si="19"/>
        <v>1.3220005645533546</v>
      </c>
      <c r="AR5">
        <v>14.233131885000001</v>
      </c>
      <c r="AS5" s="4">
        <f t="shared" si="20"/>
        <v>1.2774590783996196</v>
      </c>
      <c r="AT5">
        <v>5.4217202670000004</v>
      </c>
      <c r="AU5" s="4">
        <f t="shared" si="21"/>
        <v>0.48661291355850878</v>
      </c>
      <c r="AV5">
        <v>5.2906272410000001</v>
      </c>
      <c r="AW5" s="4">
        <f t="shared" si="22"/>
        <v>0.47484698758159383</v>
      </c>
      <c r="AX5">
        <v>6.7960770129999997</v>
      </c>
      <c r="AY5" s="4">
        <f t="shared" si="23"/>
        <v>0.6099648586063684</v>
      </c>
      <c r="AZ5">
        <v>6.5681884290000001</v>
      </c>
      <c r="BA5" s="4">
        <f t="shared" si="24"/>
        <v>0.58951128992966439</v>
      </c>
      <c r="BB5">
        <v>6.2455215449999999</v>
      </c>
      <c r="BC5" s="4">
        <f t="shared" si="25"/>
        <v>0.5605511324889032</v>
      </c>
      <c r="BD5">
        <v>5.8727362159999998</v>
      </c>
      <c r="BE5" s="4">
        <f t="shared" si="26"/>
        <v>0.52709271963409676</v>
      </c>
      <c r="BF5">
        <v>6.3571760660000001</v>
      </c>
      <c r="BG5" s="4">
        <f t="shared" si="27"/>
        <v>0.57057240417023503</v>
      </c>
      <c r="BH5">
        <v>5.2017118929999997</v>
      </c>
      <c r="BI5" s="4">
        <f t="shared" si="28"/>
        <v>0.46686661337938695</v>
      </c>
      <c r="BJ5">
        <v>6.4373924730000001</v>
      </c>
      <c r="BK5" s="4">
        <f t="shared" si="29"/>
        <v>0.57777202672602279</v>
      </c>
      <c r="BL5">
        <v>5.9298648829999996</v>
      </c>
      <c r="BM5" s="4">
        <f t="shared" si="30"/>
        <v>0.53222015995332339</v>
      </c>
      <c r="BN5">
        <v>6.5527245999999986</v>
      </c>
      <c r="BO5" s="4">
        <f t="shared" si="31"/>
        <v>0.58812337271632842</v>
      </c>
      <c r="BP5">
        <v>6.7530753609999996</v>
      </c>
      <c r="BQ5" s="4">
        <f t="shared" si="32"/>
        <v>0.60610535311049973</v>
      </c>
      <c r="BR5">
        <v>0</v>
      </c>
      <c r="BS5" s="4">
        <f t="shared" si="33"/>
        <v>0</v>
      </c>
      <c r="BT5">
        <v>6.6415114409999996</v>
      </c>
      <c r="BU5" s="4">
        <f t="shared" si="34"/>
        <v>0.59609221309484051</v>
      </c>
      <c r="BV5">
        <v>7.4242281920000002</v>
      </c>
      <c r="BW5" s="4">
        <f t="shared" si="35"/>
        <v>0.66634299327865698</v>
      </c>
      <c r="BX5">
        <v>5.6113135820000002</v>
      </c>
      <c r="BY5" s="4">
        <f t="shared" si="36"/>
        <v>0.50362938634942522</v>
      </c>
      <c r="BZ5">
        <v>5.5111176970000004</v>
      </c>
      <c r="CA5" s="4">
        <f t="shared" si="37"/>
        <v>0.49463655582233468</v>
      </c>
      <c r="CB5">
        <v>6.2767627240000001</v>
      </c>
      <c r="CC5" s="4">
        <f t="shared" si="38"/>
        <v>0.56335510620712037</v>
      </c>
      <c r="CD5">
        <v>7.9884481430000003</v>
      </c>
      <c r="CE5" s="4">
        <f t="shared" si="39"/>
        <v>0.71698314081911085</v>
      </c>
      <c r="CH5">
        <v>2</v>
      </c>
      <c r="CI5">
        <v>0.25185253995136619</v>
      </c>
    </row>
    <row r="6" spans="1:87" x14ac:dyDescent="0.2">
      <c r="A6" s="2">
        <v>42008</v>
      </c>
      <c r="B6">
        <v>2015</v>
      </c>
      <c r="C6">
        <v>4</v>
      </c>
      <c r="D6">
        <v>49.241093626999998</v>
      </c>
      <c r="E6" s="4">
        <f t="shared" si="0"/>
        <v>12.510061663212996</v>
      </c>
      <c r="F6">
        <v>61.74576854</v>
      </c>
      <c r="G6" s="4">
        <f t="shared" si="1"/>
        <v>15.686966210156005</v>
      </c>
      <c r="H6">
        <v>66.828603020000003</v>
      </c>
      <c r="I6" s="4">
        <f t="shared" si="2"/>
        <v>16.978297658851513</v>
      </c>
      <c r="J6">
        <v>42.906330349000001</v>
      </c>
      <c r="K6" s="4">
        <f t="shared" si="3"/>
        <v>10.90066850411826</v>
      </c>
      <c r="L6">
        <v>57.594789507999998</v>
      </c>
      <c r="M6" s="4">
        <f t="shared" si="4"/>
        <v>14.63237948536908</v>
      </c>
      <c r="N6">
        <v>43.605735062999997</v>
      </c>
      <c r="O6" s="4">
        <f t="shared" si="5"/>
        <v>11.078357410988602</v>
      </c>
      <c r="P6">
        <v>43.850525855999997</v>
      </c>
      <c r="Q6" s="4">
        <f t="shared" si="6"/>
        <v>11.14054831069148</v>
      </c>
      <c r="R6">
        <v>35.689649578000001</v>
      </c>
      <c r="S6" s="4">
        <f t="shared" si="7"/>
        <v>9.0672177255305488</v>
      </c>
      <c r="T6">
        <v>38.471974138999997</v>
      </c>
      <c r="U6" s="4">
        <f t="shared" si="8"/>
        <v>9.7740877249835361</v>
      </c>
      <c r="V6">
        <v>36.988498452999998</v>
      </c>
      <c r="W6" s="4">
        <f t="shared" si="9"/>
        <v>9.3971998262638934</v>
      </c>
      <c r="X6">
        <v>33.542572972000002</v>
      </c>
      <c r="Y6" s="4">
        <f t="shared" si="10"/>
        <v>8.5217371368952453</v>
      </c>
      <c r="Z6">
        <v>27.532426359999999</v>
      </c>
      <c r="AA6" s="4">
        <f t="shared" si="11"/>
        <v>6.9948152271055761</v>
      </c>
      <c r="AB6">
        <v>18.792350827</v>
      </c>
      <c r="AC6" s="4">
        <f t="shared" si="12"/>
        <v>4.7743348152120388</v>
      </c>
      <c r="AD6">
        <v>37.908119677999998</v>
      </c>
      <c r="AE6" s="4">
        <f t="shared" si="13"/>
        <v>9.6308363559213355</v>
      </c>
      <c r="AF6">
        <v>28.28298354</v>
      </c>
      <c r="AG6" s="4">
        <f t="shared" si="14"/>
        <v>7.1854997938354019</v>
      </c>
      <c r="AH6">
        <v>21.324553309999999</v>
      </c>
      <c r="AI6" s="4">
        <f t="shared" si="15"/>
        <v>5.417659462833214</v>
      </c>
      <c r="AJ6">
        <v>49.149292942999999</v>
      </c>
      <c r="AK6" s="4">
        <f t="shared" si="16"/>
        <v>12.486739024884439</v>
      </c>
      <c r="AL6">
        <v>45.453728202000001</v>
      </c>
      <c r="AM6" s="4">
        <f t="shared" si="17"/>
        <v>11.54785364714466</v>
      </c>
      <c r="AN6">
        <v>38.366130108</v>
      </c>
      <c r="AO6" s="4">
        <f t="shared" si="18"/>
        <v>9.7471972711580559</v>
      </c>
      <c r="AP6">
        <v>55.641120909999998</v>
      </c>
      <c r="AQ6" s="4">
        <f t="shared" si="19"/>
        <v>14.136035622342821</v>
      </c>
      <c r="AR6">
        <v>55.674137113999997</v>
      </c>
      <c r="AS6" s="4">
        <f t="shared" si="20"/>
        <v>14.144423631574581</v>
      </c>
      <c r="AT6">
        <v>46.452528950999998</v>
      </c>
      <c r="AU6" s="4">
        <f t="shared" si="21"/>
        <v>11.801606316691423</v>
      </c>
      <c r="AV6">
        <v>34.633895871999997</v>
      </c>
      <c r="AW6" s="4">
        <f t="shared" si="22"/>
        <v>8.7989957387633062</v>
      </c>
      <c r="AX6">
        <v>42.021993639999998</v>
      </c>
      <c r="AY6" s="4">
        <f t="shared" si="23"/>
        <v>10.675996265023905</v>
      </c>
      <c r="AZ6">
        <v>44.076129915999999</v>
      </c>
      <c r="BA6" s="4">
        <f t="shared" si="24"/>
        <v>11.197864679890147</v>
      </c>
      <c r="BB6">
        <v>40.350127458999999</v>
      </c>
      <c r="BC6" s="4">
        <f t="shared" si="25"/>
        <v>10.251246376741932</v>
      </c>
      <c r="BD6">
        <v>40.435050481999987</v>
      </c>
      <c r="BE6" s="4">
        <f t="shared" si="26"/>
        <v>10.272821694755862</v>
      </c>
      <c r="BF6">
        <v>39.757759571000001</v>
      </c>
      <c r="BG6" s="4">
        <f t="shared" si="27"/>
        <v>10.100750962031567</v>
      </c>
      <c r="BH6">
        <v>39.839151385999998</v>
      </c>
      <c r="BI6" s="4">
        <f t="shared" si="28"/>
        <v>10.121429150705518</v>
      </c>
      <c r="BJ6">
        <v>37.79668427</v>
      </c>
      <c r="BK6" s="4">
        <f t="shared" si="29"/>
        <v>9.6025253716831447</v>
      </c>
      <c r="BL6">
        <v>46.485054026999997</v>
      </c>
      <c r="BM6" s="4">
        <f t="shared" si="30"/>
        <v>11.809869551245935</v>
      </c>
      <c r="BN6">
        <v>50.621378178000001</v>
      </c>
      <c r="BO6" s="4">
        <f t="shared" si="31"/>
        <v>12.860733095829639</v>
      </c>
      <c r="BP6">
        <v>55.304600252999997</v>
      </c>
      <c r="BQ6" s="4">
        <f t="shared" si="32"/>
        <v>14.050540076652775</v>
      </c>
      <c r="BR6">
        <v>43.433328622999987</v>
      </c>
      <c r="BS6" s="4">
        <f t="shared" si="33"/>
        <v>11.034556288051061</v>
      </c>
      <c r="BT6">
        <v>39.808997867000002</v>
      </c>
      <c r="BU6" s="4">
        <f t="shared" si="34"/>
        <v>10.113768427633236</v>
      </c>
      <c r="BV6">
        <v>40.747825149000001</v>
      </c>
      <c r="BW6" s="4">
        <f t="shared" si="35"/>
        <v>10.352284397199083</v>
      </c>
      <c r="BX6">
        <v>30.408004642000002</v>
      </c>
      <c r="BY6" s="4">
        <f t="shared" si="36"/>
        <v>7.7253770196139975</v>
      </c>
      <c r="BZ6">
        <v>36.067340373</v>
      </c>
      <c r="CA6" s="4">
        <f t="shared" si="37"/>
        <v>9.1631728473007747</v>
      </c>
      <c r="CB6">
        <v>43.437817576</v>
      </c>
      <c r="CC6" s="4">
        <f t="shared" si="38"/>
        <v>11.03569673954588</v>
      </c>
      <c r="CD6">
        <v>52.459552762000001</v>
      </c>
      <c r="CE6" s="4">
        <f t="shared" si="39"/>
        <v>13.327734855940463</v>
      </c>
      <c r="CH6">
        <v>3</v>
      </c>
      <c r="CI6">
        <v>8.9752493598819733E-2</v>
      </c>
    </row>
    <row r="7" spans="1:87" x14ac:dyDescent="0.2">
      <c r="A7" s="2">
        <v>42009</v>
      </c>
      <c r="B7">
        <v>2015</v>
      </c>
      <c r="C7">
        <v>5</v>
      </c>
      <c r="D7">
        <v>94.517234797</v>
      </c>
      <c r="E7" s="4">
        <f t="shared" si="0"/>
        <v>45.804316803260051</v>
      </c>
      <c r="F7">
        <v>93.494227405999993</v>
      </c>
      <c r="G7" s="4">
        <f t="shared" si="1"/>
        <v>45.308553731793971</v>
      </c>
      <c r="H7">
        <v>98.407514574000004</v>
      </c>
      <c r="I7" s="4">
        <f t="shared" si="2"/>
        <v>47.689598442547698</v>
      </c>
      <c r="J7">
        <v>92.098103531999996</v>
      </c>
      <c r="K7" s="4">
        <f t="shared" si="3"/>
        <v>44.631973419656866</v>
      </c>
      <c r="L7">
        <v>95.573577405999998</v>
      </c>
      <c r="M7" s="4">
        <f t="shared" si="4"/>
        <v>46.316234567457634</v>
      </c>
      <c r="N7">
        <v>92.136187563999997</v>
      </c>
      <c r="O7" s="4">
        <f t="shared" si="5"/>
        <v>44.650429451200957</v>
      </c>
      <c r="P7">
        <v>102.553376203</v>
      </c>
      <c r="Q7" s="4">
        <f t="shared" si="6"/>
        <v>49.69873846748655</v>
      </c>
      <c r="R7">
        <v>93.233813284999997</v>
      </c>
      <c r="S7" s="4">
        <f t="shared" si="7"/>
        <v>45.182353563920415</v>
      </c>
      <c r="T7">
        <v>92.943007472000005</v>
      </c>
      <c r="U7" s="4">
        <f t="shared" si="8"/>
        <v>45.041425175404925</v>
      </c>
      <c r="V7">
        <v>92.006587980999996</v>
      </c>
      <c r="W7" s="4">
        <f t="shared" si="9"/>
        <v>44.587623758989878</v>
      </c>
      <c r="X7">
        <v>86.546077732000001</v>
      </c>
      <c r="Y7" s="4">
        <f t="shared" si="10"/>
        <v>41.941387420296408</v>
      </c>
      <c r="Z7">
        <v>86.376242156000004</v>
      </c>
      <c r="AA7" s="4">
        <f t="shared" si="11"/>
        <v>41.859082827443309</v>
      </c>
      <c r="AB7">
        <v>88.833394526999996</v>
      </c>
      <c r="AC7" s="4">
        <f t="shared" si="12"/>
        <v>43.049851747808908</v>
      </c>
      <c r="AD7">
        <v>88.590049738000005</v>
      </c>
      <c r="AE7" s="4">
        <f t="shared" si="13"/>
        <v>42.931923606642719</v>
      </c>
      <c r="AF7">
        <v>90.749378684000007</v>
      </c>
      <c r="AG7" s="4">
        <f t="shared" si="14"/>
        <v>43.978363309808614</v>
      </c>
      <c r="AH7">
        <v>94.068058011999995</v>
      </c>
      <c r="AI7" s="4">
        <f t="shared" si="15"/>
        <v>45.586639722408094</v>
      </c>
      <c r="AJ7">
        <v>93.040234574999999</v>
      </c>
      <c r="AK7" s="4">
        <f t="shared" si="16"/>
        <v>45.088542730602555</v>
      </c>
      <c r="AL7">
        <v>101.712417604</v>
      </c>
      <c r="AM7" s="4">
        <f t="shared" si="17"/>
        <v>49.291198676783274</v>
      </c>
      <c r="AN7">
        <v>107.468846801</v>
      </c>
      <c r="AO7" s="4">
        <f t="shared" si="18"/>
        <v>52.080841297636724</v>
      </c>
      <c r="AP7">
        <v>98.645979885999992</v>
      </c>
      <c r="AQ7" s="4">
        <f t="shared" si="19"/>
        <v>47.80516192386299</v>
      </c>
      <c r="AR7">
        <v>112.009377242</v>
      </c>
      <c r="AS7" s="4">
        <f t="shared" si="20"/>
        <v>54.281243110291229</v>
      </c>
      <c r="AT7">
        <v>118.987728602</v>
      </c>
      <c r="AU7" s="4">
        <f t="shared" si="21"/>
        <v>57.663045562980479</v>
      </c>
      <c r="AV7">
        <v>108.56800269999999</v>
      </c>
      <c r="AW7" s="4">
        <f t="shared" si="22"/>
        <v>52.613506955091673</v>
      </c>
      <c r="AX7">
        <v>114.336399563</v>
      </c>
      <c r="AY7" s="4">
        <f t="shared" si="23"/>
        <v>55.408949267038892</v>
      </c>
      <c r="AZ7">
        <v>121.715805523</v>
      </c>
      <c r="BA7" s="4">
        <f t="shared" si="24"/>
        <v>58.985108145762602</v>
      </c>
      <c r="BB7">
        <v>109.223758227</v>
      </c>
      <c r="BC7" s="4">
        <f t="shared" si="25"/>
        <v>52.931294858733885</v>
      </c>
      <c r="BD7">
        <v>115.6959877</v>
      </c>
      <c r="BE7" s="4">
        <f t="shared" si="26"/>
        <v>56.06782387210805</v>
      </c>
      <c r="BF7">
        <v>116.602487559</v>
      </c>
      <c r="BG7" s="4">
        <f t="shared" si="27"/>
        <v>56.507125834474216</v>
      </c>
      <c r="BH7">
        <v>121.111051566</v>
      </c>
      <c r="BI7" s="4">
        <f t="shared" si="28"/>
        <v>58.692036285440551</v>
      </c>
      <c r="BJ7">
        <v>117.46172856699999</v>
      </c>
      <c r="BK7" s="4">
        <f t="shared" si="29"/>
        <v>56.92352552523235</v>
      </c>
      <c r="BL7">
        <v>123.156240458</v>
      </c>
      <c r="BM7" s="4">
        <f t="shared" si="30"/>
        <v>59.68316219102671</v>
      </c>
      <c r="BN7">
        <v>121.33748102200001</v>
      </c>
      <c r="BO7" s="4">
        <f t="shared" si="31"/>
        <v>58.801767029875563</v>
      </c>
      <c r="BP7">
        <v>128.28193616799999</v>
      </c>
      <c r="BQ7" s="4">
        <f t="shared" si="32"/>
        <v>62.1671429236645</v>
      </c>
      <c r="BR7">
        <v>126.784225943</v>
      </c>
      <c r="BS7" s="4">
        <f t="shared" si="33"/>
        <v>61.441332506413922</v>
      </c>
      <c r="BT7">
        <v>109.64086055999999</v>
      </c>
      <c r="BU7" s="4">
        <f t="shared" si="34"/>
        <v>53.133428230929368</v>
      </c>
      <c r="BV7">
        <v>103.49489068600001</v>
      </c>
      <c r="BW7" s="4">
        <f t="shared" si="35"/>
        <v>50.155008985205491</v>
      </c>
      <c r="BX7">
        <v>99.799709315999991</v>
      </c>
      <c r="BY7" s="4">
        <f t="shared" si="36"/>
        <v>48.36427464473833</v>
      </c>
      <c r="BZ7">
        <v>115.075154782</v>
      </c>
      <c r="CA7" s="4">
        <f t="shared" si="37"/>
        <v>55.766959932118269</v>
      </c>
      <c r="CB7">
        <v>128.44104479999999</v>
      </c>
      <c r="CC7" s="4">
        <f t="shared" si="38"/>
        <v>62.244249095908259</v>
      </c>
      <c r="CD7">
        <v>133.194156169</v>
      </c>
      <c r="CE7" s="4">
        <f t="shared" si="39"/>
        <v>64.547670471009297</v>
      </c>
      <c r="CH7">
        <v>4</v>
      </c>
      <c r="CI7">
        <v>0.25405734807549946</v>
      </c>
    </row>
    <row r="8" spans="1:87" x14ac:dyDescent="0.2">
      <c r="A8" s="2">
        <v>42010</v>
      </c>
      <c r="B8">
        <v>2015</v>
      </c>
      <c r="C8">
        <v>6</v>
      </c>
      <c r="D8">
        <v>103.70234822899999</v>
      </c>
      <c r="E8" s="4">
        <f t="shared" si="0"/>
        <v>149.60159009792079</v>
      </c>
      <c r="F8">
        <v>90.911525740000002</v>
      </c>
      <c r="G8" s="4">
        <f t="shared" si="1"/>
        <v>131.14947772348245</v>
      </c>
      <c r="H8">
        <v>93.099596977999994</v>
      </c>
      <c r="I8" s="4">
        <f t="shared" si="2"/>
        <v>134.30600158280222</v>
      </c>
      <c r="J8">
        <v>132.49397085999999</v>
      </c>
      <c r="K8" s="4">
        <f t="shared" si="3"/>
        <v>191.13654664090453</v>
      </c>
      <c r="L8">
        <v>132.11848259999999</v>
      </c>
      <c r="M8" s="4">
        <f t="shared" si="4"/>
        <v>190.59486516774197</v>
      </c>
      <c r="N8">
        <v>125.84606744</v>
      </c>
      <c r="O8" s="4">
        <f t="shared" si="5"/>
        <v>181.54624382294688</v>
      </c>
      <c r="P8">
        <v>102.610298142</v>
      </c>
      <c r="Q8" s="4">
        <f t="shared" si="6"/>
        <v>148.02619250787774</v>
      </c>
      <c r="R8">
        <v>124.99229431000001</v>
      </c>
      <c r="S8" s="4">
        <f t="shared" si="7"/>
        <v>180.31458590958093</v>
      </c>
      <c r="T8">
        <v>115.869501126</v>
      </c>
      <c r="U8" s="4">
        <f t="shared" si="8"/>
        <v>167.15399321550714</v>
      </c>
      <c r="V8">
        <v>111.109571457</v>
      </c>
      <c r="W8" s="4">
        <f t="shared" si="9"/>
        <v>160.28729193634038</v>
      </c>
      <c r="X8">
        <v>123.285697927</v>
      </c>
      <c r="Y8" s="4">
        <f t="shared" si="10"/>
        <v>177.85264038074513</v>
      </c>
      <c r="Z8">
        <v>118.85952568800001</v>
      </c>
      <c r="AA8" s="4">
        <f t="shared" si="11"/>
        <v>171.4674194449621</v>
      </c>
      <c r="AB8">
        <v>109.295045367</v>
      </c>
      <c r="AC8" s="4">
        <f t="shared" si="12"/>
        <v>157.66964640589666</v>
      </c>
      <c r="AD8">
        <v>102.137958062</v>
      </c>
      <c r="AE8" s="4">
        <f t="shared" si="13"/>
        <v>147.34479205512292</v>
      </c>
      <c r="AF8">
        <v>101.36789797</v>
      </c>
      <c r="AG8" s="4">
        <f t="shared" si="14"/>
        <v>146.23389904062958</v>
      </c>
      <c r="AH8">
        <v>119.33547211600001</v>
      </c>
      <c r="AI8" s="4">
        <f t="shared" si="15"/>
        <v>172.15402243560018</v>
      </c>
      <c r="AJ8">
        <v>88.675750740000012</v>
      </c>
      <c r="AK8" s="4">
        <f t="shared" si="16"/>
        <v>127.924136149128</v>
      </c>
      <c r="AL8">
        <v>90.300766949999996</v>
      </c>
      <c r="AM8" s="4">
        <f t="shared" si="17"/>
        <v>130.26839366212144</v>
      </c>
      <c r="AN8">
        <v>112.451807016</v>
      </c>
      <c r="AO8" s="4">
        <f t="shared" si="18"/>
        <v>162.22360849369505</v>
      </c>
      <c r="AP8">
        <v>90.650808339999998</v>
      </c>
      <c r="AQ8" s="4">
        <f t="shared" si="19"/>
        <v>130.77336533767547</v>
      </c>
      <c r="AR8">
        <v>95.807661050000007</v>
      </c>
      <c r="AS8" s="4">
        <f t="shared" si="20"/>
        <v>138.21267002548421</v>
      </c>
      <c r="AT8">
        <v>126.40421867400001</v>
      </c>
      <c r="AU8" s="4">
        <f t="shared" si="21"/>
        <v>182.35143592850199</v>
      </c>
      <c r="AV8">
        <v>123.988624574</v>
      </c>
      <c r="AW8" s="4">
        <f t="shared" si="22"/>
        <v>178.8666863103627</v>
      </c>
      <c r="AX8">
        <v>114.933551792</v>
      </c>
      <c r="AY8" s="4">
        <f t="shared" si="23"/>
        <v>165.80378744863006</v>
      </c>
      <c r="AZ8">
        <v>121.1355915</v>
      </c>
      <c r="BA8" s="4">
        <f t="shared" si="24"/>
        <v>174.75088477103938</v>
      </c>
      <c r="BB8">
        <v>116.13944863899999</v>
      </c>
      <c r="BC8" s="4">
        <f t="shared" si="25"/>
        <v>167.54342101417762</v>
      </c>
      <c r="BD8">
        <v>105.076289664</v>
      </c>
      <c r="BE8" s="4">
        <f t="shared" si="26"/>
        <v>151.58364573009925</v>
      </c>
      <c r="BF8">
        <v>126.978506094</v>
      </c>
      <c r="BG8" s="4">
        <f t="shared" si="27"/>
        <v>183.17990618662489</v>
      </c>
      <c r="BH8">
        <v>118.748844139</v>
      </c>
      <c r="BI8" s="4">
        <f t="shared" si="28"/>
        <v>171.30774962062659</v>
      </c>
      <c r="BJ8">
        <v>110.86265659599999</v>
      </c>
      <c r="BK8" s="4">
        <f t="shared" si="29"/>
        <v>159.93109117082986</v>
      </c>
      <c r="BL8">
        <v>116.563846576</v>
      </c>
      <c r="BM8" s="4">
        <f t="shared" si="30"/>
        <v>168.15565986212806</v>
      </c>
      <c r="BN8">
        <v>113.653692256</v>
      </c>
      <c r="BO8" s="4">
        <f t="shared" si="31"/>
        <v>163.95745489244939</v>
      </c>
      <c r="BP8">
        <v>120.04277946800001</v>
      </c>
      <c r="BQ8" s="4">
        <f t="shared" si="32"/>
        <v>173.17438799485913</v>
      </c>
      <c r="BR8">
        <v>134.44787120000001</v>
      </c>
      <c r="BS8" s="4">
        <f t="shared" si="33"/>
        <v>193.9552542473262</v>
      </c>
      <c r="BT8">
        <v>102.49265336800001</v>
      </c>
      <c r="BU8" s="4">
        <f t="shared" si="34"/>
        <v>147.85647749604169</v>
      </c>
      <c r="BV8">
        <v>113.123474125</v>
      </c>
      <c r="BW8" s="4">
        <f t="shared" si="35"/>
        <v>163.19255923819492</v>
      </c>
      <c r="BX8">
        <v>119.218589786</v>
      </c>
      <c r="BY8" s="4">
        <f t="shared" si="36"/>
        <v>171.98540732976153</v>
      </c>
      <c r="BZ8">
        <v>119.57324027999999</v>
      </c>
      <c r="CA8" s="4">
        <f t="shared" si="37"/>
        <v>172.49702812463738</v>
      </c>
      <c r="CB8">
        <v>144.11102581200001</v>
      </c>
      <c r="CC8" s="4">
        <f t="shared" si="38"/>
        <v>207.89537537288615</v>
      </c>
      <c r="CD8">
        <v>136.54306030399999</v>
      </c>
      <c r="CE8" s="4">
        <f t="shared" si="39"/>
        <v>196.97778581837679</v>
      </c>
      <c r="CH8">
        <v>5</v>
      </c>
      <c r="CI8">
        <v>0.48461338190475595</v>
      </c>
    </row>
    <row r="9" spans="1:87" x14ac:dyDescent="0.2">
      <c r="A9" s="2">
        <v>42011</v>
      </c>
      <c r="B9">
        <v>2015</v>
      </c>
      <c r="C9">
        <v>7</v>
      </c>
      <c r="D9">
        <v>362.73830415700002</v>
      </c>
      <c r="E9" s="4">
        <f t="shared" si="0"/>
        <v>295.48212731398036</v>
      </c>
      <c r="F9">
        <v>362.96332551</v>
      </c>
      <c r="G9" s="4">
        <f t="shared" si="1"/>
        <v>295.66542691954595</v>
      </c>
      <c r="H9">
        <v>328.04789399100002</v>
      </c>
      <c r="I9" s="4">
        <f t="shared" si="2"/>
        <v>267.22374909537444</v>
      </c>
      <c r="J9">
        <v>339.16826606699999</v>
      </c>
      <c r="K9" s="4">
        <f t="shared" si="3"/>
        <v>276.28226637872501</v>
      </c>
      <c r="L9">
        <v>305.47740314700002</v>
      </c>
      <c r="M9" s="4">
        <f t="shared" si="4"/>
        <v>248.83810695977223</v>
      </c>
      <c r="N9">
        <v>330.99958417200003</v>
      </c>
      <c r="O9" s="4">
        <f t="shared" si="5"/>
        <v>269.628159337851</v>
      </c>
      <c r="P9">
        <v>365.13633871000002</v>
      </c>
      <c r="Q9" s="4">
        <f t="shared" si="6"/>
        <v>297.43553654309278</v>
      </c>
      <c r="R9">
        <v>352.16954994999998</v>
      </c>
      <c r="S9" s="4">
        <f t="shared" si="7"/>
        <v>286.87295111076554</v>
      </c>
      <c r="T9">
        <v>322.09657527000002</v>
      </c>
      <c r="U9" s="4">
        <f t="shared" si="8"/>
        <v>262.37587861725842</v>
      </c>
      <c r="V9">
        <v>351.38846158899997</v>
      </c>
      <c r="W9" s="4">
        <f t="shared" si="9"/>
        <v>286.23668621157094</v>
      </c>
      <c r="X9">
        <v>334.52399920900001</v>
      </c>
      <c r="Y9" s="4">
        <f t="shared" si="10"/>
        <v>272.49910415050414</v>
      </c>
      <c r="Z9">
        <v>295.95659591700002</v>
      </c>
      <c r="AA9" s="4">
        <f t="shared" si="11"/>
        <v>241.08257537728707</v>
      </c>
      <c r="AB9">
        <v>303.34499359400002</v>
      </c>
      <c r="AC9" s="4">
        <f t="shared" si="12"/>
        <v>247.10107256388892</v>
      </c>
      <c r="AD9">
        <v>359.87801408199999</v>
      </c>
      <c r="AE9" s="4">
        <f t="shared" si="13"/>
        <v>293.15217046517108</v>
      </c>
      <c r="AF9">
        <v>319.189190397</v>
      </c>
      <c r="AG9" s="4">
        <f t="shared" si="14"/>
        <v>260.00755892962292</v>
      </c>
      <c r="AH9">
        <v>336.05074405200003</v>
      </c>
      <c r="AI9" s="4">
        <f t="shared" si="15"/>
        <v>273.74277157935126</v>
      </c>
      <c r="AJ9">
        <v>373.440839299</v>
      </c>
      <c r="AK9" s="4">
        <f t="shared" si="16"/>
        <v>304.20027980895929</v>
      </c>
      <c r="AL9">
        <v>357.16247463899998</v>
      </c>
      <c r="AM9" s="4">
        <f t="shared" si="17"/>
        <v>290.94012568735963</v>
      </c>
      <c r="AN9">
        <v>391.365397444</v>
      </c>
      <c r="AO9" s="4">
        <f t="shared" si="18"/>
        <v>318.80140274290608</v>
      </c>
      <c r="AP9">
        <v>395.15411663200001</v>
      </c>
      <c r="AQ9" s="4">
        <f t="shared" si="19"/>
        <v>321.88764644156163</v>
      </c>
      <c r="AR9">
        <v>401.32121277099998</v>
      </c>
      <c r="AS9" s="4">
        <f t="shared" si="20"/>
        <v>326.91128653034815</v>
      </c>
      <c r="AT9">
        <v>507.43516826199999</v>
      </c>
      <c r="AU9" s="4">
        <f t="shared" si="21"/>
        <v>413.35039965089351</v>
      </c>
      <c r="AV9">
        <v>403.57054137400002</v>
      </c>
      <c r="AW9" s="4">
        <f t="shared" si="22"/>
        <v>328.7435617354364</v>
      </c>
      <c r="AX9">
        <v>441.65033529599998</v>
      </c>
      <c r="AY9" s="4">
        <f t="shared" si="23"/>
        <v>359.76288995857465</v>
      </c>
      <c r="AZ9">
        <v>518.17642594799997</v>
      </c>
      <c r="BA9" s="4">
        <f t="shared" si="24"/>
        <v>422.10009505034384</v>
      </c>
      <c r="BB9">
        <v>447.38027382199999</v>
      </c>
      <c r="BC9" s="4">
        <f t="shared" si="25"/>
        <v>364.43042687330865</v>
      </c>
      <c r="BD9">
        <v>428.904709803</v>
      </c>
      <c r="BE9" s="4">
        <f t="shared" si="26"/>
        <v>349.38046138276894</v>
      </c>
      <c r="BF9">
        <v>493.80186750399997</v>
      </c>
      <c r="BG9" s="4">
        <f t="shared" si="27"/>
        <v>402.24488180477829</v>
      </c>
      <c r="BH9">
        <v>502.40884019800001</v>
      </c>
      <c r="BI9" s="4">
        <f t="shared" si="28"/>
        <v>409.2560150989774</v>
      </c>
      <c r="BJ9">
        <v>450.94180490600002</v>
      </c>
      <c r="BK9" s="4">
        <f t="shared" si="29"/>
        <v>367.33160595788559</v>
      </c>
      <c r="BL9">
        <v>530.146731864</v>
      </c>
      <c r="BM9" s="4">
        <f t="shared" si="30"/>
        <v>431.85095790691145</v>
      </c>
      <c r="BN9">
        <v>531.03491258700001</v>
      </c>
      <c r="BO9" s="4">
        <f t="shared" si="31"/>
        <v>432.57445891704384</v>
      </c>
      <c r="BP9">
        <v>549.962858203</v>
      </c>
      <c r="BQ9" s="4">
        <f t="shared" si="32"/>
        <v>447.99292885033856</v>
      </c>
      <c r="BR9">
        <v>546.30308533999994</v>
      </c>
      <c r="BS9" s="4">
        <f t="shared" si="33"/>
        <v>445.01172323005426</v>
      </c>
      <c r="BT9">
        <v>384.67981052599998</v>
      </c>
      <c r="BU9" s="4">
        <f t="shared" si="34"/>
        <v>313.35540649096868</v>
      </c>
      <c r="BV9">
        <v>393.09033919799998</v>
      </c>
      <c r="BW9" s="4">
        <f t="shared" si="35"/>
        <v>320.20651891928878</v>
      </c>
      <c r="BX9">
        <v>376.48530866900001</v>
      </c>
      <c r="BY9" s="4">
        <f t="shared" si="36"/>
        <v>306.68026682902462</v>
      </c>
      <c r="BZ9">
        <v>465.47867917600001</v>
      </c>
      <c r="CA9" s="4">
        <f t="shared" si="37"/>
        <v>379.17316358929673</v>
      </c>
      <c r="CB9">
        <v>573.90507031000004</v>
      </c>
      <c r="CC9" s="4">
        <f t="shared" si="38"/>
        <v>467.49595812765727</v>
      </c>
      <c r="CD9">
        <v>596.94697857799997</v>
      </c>
      <c r="CE9" s="4">
        <f t="shared" si="39"/>
        <v>486.26561105478618</v>
      </c>
      <c r="CH9">
        <v>6</v>
      </c>
      <c r="CI9">
        <v>1.4426056174500901</v>
      </c>
    </row>
    <row r="10" spans="1:87" x14ac:dyDescent="0.2">
      <c r="A10" s="2">
        <v>42012</v>
      </c>
      <c r="B10">
        <v>2015</v>
      </c>
      <c r="C10">
        <v>8</v>
      </c>
      <c r="D10">
        <v>280.68923758300002</v>
      </c>
      <c r="E10" s="4">
        <f t="shared" si="0"/>
        <v>252.10242062617152</v>
      </c>
      <c r="F10">
        <v>277.15209005899999</v>
      </c>
      <c r="G10" s="4">
        <f t="shared" si="1"/>
        <v>248.92551416338421</v>
      </c>
      <c r="H10">
        <v>257.017426978</v>
      </c>
      <c r="I10" s="4">
        <f t="shared" si="2"/>
        <v>230.84146739008557</v>
      </c>
      <c r="J10">
        <v>293.55549432399999</v>
      </c>
      <c r="K10" s="4">
        <f t="shared" si="3"/>
        <v>263.65831246133587</v>
      </c>
      <c r="L10">
        <v>278.04915665200002</v>
      </c>
      <c r="M10" s="4">
        <f t="shared" si="4"/>
        <v>249.73121894033102</v>
      </c>
      <c r="N10">
        <v>278.60973310399999</v>
      </c>
      <c r="O10" s="4">
        <f t="shared" si="5"/>
        <v>250.23470344052825</v>
      </c>
      <c r="P10">
        <v>285.43233682200002</v>
      </c>
      <c r="Q10" s="4">
        <f t="shared" si="6"/>
        <v>256.36245855893503</v>
      </c>
      <c r="R10">
        <v>290.95069837599999</v>
      </c>
      <c r="S10" s="4">
        <f t="shared" si="7"/>
        <v>261.31880215669202</v>
      </c>
      <c r="T10">
        <v>273.91312980700002</v>
      </c>
      <c r="U10" s="4">
        <f t="shared" si="8"/>
        <v>246.01642606698118</v>
      </c>
      <c r="V10">
        <v>288.34965802400001</v>
      </c>
      <c r="W10" s="4">
        <f t="shared" si="9"/>
        <v>258.98266495908524</v>
      </c>
      <c r="X10">
        <v>282.07724571300002</v>
      </c>
      <c r="Y10" s="4">
        <f t="shared" si="10"/>
        <v>253.34906696158129</v>
      </c>
      <c r="Z10">
        <v>255.25841522600001</v>
      </c>
      <c r="AA10" s="4">
        <f t="shared" si="11"/>
        <v>229.26160232504918</v>
      </c>
      <c r="AB10">
        <v>271.35980749800001</v>
      </c>
      <c r="AC10" s="4">
        <f t="shared" si="12"/>
        <v>243.72314706462055</v>
      </c>
      <c r="AD10">
        <v>285.55295465799998</v>
      </c>
      <c r="AE10" s="4">
        <f t="shared" si="13"/>
        <v>256.47079206216489</v>
      </c>
      <c r="AF10">
        <v>256.780255791</v>
      </c>
      <c r="AG10" s="4">
        <f t="shared" si="14"/>
        <v>230.62845092083887</v>
      </c>
      <c r="AH10">
        <v>275.930819047</v>
      </c>
      <c r="AI10" s="4">
        <f t="shared" si="15"/>
        <v>247.82862359138738</v>
      </c>
      <c r="AJ10">
        <v>286.01015709000001</v>
      </c>
      <c r="AK10" s="4">
        <f t="shared" si="16"/>
        <v>256.88143067736758</v>
      </c>
      <c r="AL10">
        <v>272.96187210099998</v>
      </c>
      <c r="AM10" s="4">
        <f t="shared" si="17"/>
        <v>245.16204927509938</v>
      </c>
      <c r="AN10">
        <v>293.30859659800001</v>
      </c>
      <c r="AO10" s="4">
        <f t="shared" si="18"/>
        <v>263.43656005320054</v>
      </c>
      <c r="AP10">
        <v>292.50122164300001</v>
      </c>
      <c r="AQ10" s="4">
        <f t="shared" si="19"/>
        <v>262.71141226249387</v>
      </c>
      <c r="AR10">
        <v>286.65324401200002</v>
      </c>
      <c r="AS10" s="4">
        <f t="shared" si="20"/>
        <v>257.45902236241142</v>
      </c>
      <c r="AT10">
        <v>351.62505815999998</v>
      </c>
      <c r="AU10" s="4">
        <f t="shared" si="21"/>
        <v>315.81377710907702</v>
      </c>
      <c r="AV10">
        <v>314.19342852900002</v>
      </c>
      <c r="AW10" s="4">
        <f t="shared" si="22"/>
        <v>282.19437467236264</v>
      </c>
      <c r="AX10">
        <v>314.41750098300002</v>
      </c>
      <c r="AY10" s="4">
        <f t="shared" si="23"/>
        <v>282.39562645007766</v>
      </c>
      <c r="AZ10">
        <v>356.330615518</v>
      </c>
      <c r="BA10" s="4">
        <f t="shared" si="24"/>
        <v>320.04009661659398</v>
      </c>
      <c r="BB10">
        <v>352.80748367799998</v>
      </c>
      <c r="BC10" s="4">
        <f t="shared" si="25"/>
        <v>316.87577840939343</v>
      </c>
      <c r="BD10">
        <v>352.28429267400003</v>
      </c>
      <c r="BE10" s="4">
        <f t="shared" si="26"/>
        <v>316.40587183337362</v>
      </c>
      <c r="BF10">
        <v>395.44946432099999</v>
      </c>
      <c r="BG10" s="4">
        <f t="shared" si="27"/>
        <v>355.17488325916815</v>
      </c>
      <c r="BH10">
        <v>388.63764812599999</v>
      </c>
      <c r="BI10" s="4">
        <f t="shared" si="28"/>
        <v>349.05681700765302</v>
      </c>
      <c r="BJ10">
        <v>367.25770187500001</v>
      </c>
      <c r="BK10" s="4">
        <f t="shared" si="29"/>
        <v>329.85431302443305</v>
      </c>
      <c r="BL10">
        <v>391.181392679</v>
      </c>
      <c r="BM10" s="4">
        <f t="shared" si="30"/>
        <v>351.34149370130899</v>
      </c>
      <c r="BN10">
        <v>388.76325845899999</v>
      </c>
      <c r="BO10" s="4">
        <f t="shared" si="31"/>
        <v>349.16963454664256</v>
      </c>
      <c r="BP10">
        <v>381.169634831</v>
      </c>
      <c r="BQ10" s="4">
        <f t="shared" si="32"/>
        <v>342.34938410017929</v>
      </c>
      <c r="BR10">
        <v>396.95947358400002</v>
      </c>
      <c r="BS10" s="4">
        <f t="shared" si="33"/>
        <v>356.53110551281861</v>
      </c>
      <c r="BT10">
        <v>304.85877513700001</v>
      </c>
      <c r="BU10" s="4">
        <f t="shared" si="34"/>
        <v>273.81040977191418</v>
      </c>
      <c r="BV10">
        <v>317.09076405799999</v>
      </c>
      <c r="BW10" s="4">
        <f t="shared" si="35"/>
        <v>284.79663084191429</v>
      </c>
      <c r="BX10">
        <v>321.19855404800001</v>
      </c>
      <c r="BY10" s="4">
        <f t="shared" si="36"/>
        <v>288.48606264493003</v>
      </c>
      <c r="BZ10">
        <v>351.16860200100001</v>
      </c>
      <c r="CA10" s="4">
        <f t="shared" si="37"/>
        <v>315.40380876264345</v>
      </c>
      <c r="CB10">
        <v>380.09662913599999</v>
      </c>
      <c r="CC10" s="4">
        <f t="shared" si="38"/>
        <v>341.38565875258672</v>
      </c>
      <c r="CD10">
        <v>373.93999768399999</v>
      </c>
      <c r="CE10" s="4">
        <f t="shared" si="39"/>
        <v>335.85604990360667</v>
      </c>
      <c r="CH10">
        <v>7</v>
      </c>
      <c r="CI10">
        <v>0.8145876074507149</v>
      </c>
    </row>
    <row r="11" spans="1:87" x14ac:dyDescent="0.2">
      <c r="A11" s="2">
        <v>42013</v>
      </c>
      <c r="B11">
        <v>2015</v>
      </c>
      <c r="C11">
        <v>9</v>
      </c>
      <c r="D11">
        <v>239.22816656200001</v>
      </c>
      <c r="E11" s="4">
        <f t="shared" si="0"/>
        <v>224.96386490349204</v>
      </c>
      <c r="F11">
        <v>234.870172497</v>
      </c>
      <c r="G11" s="4">
        <f t="shared" si="1"/>
        <v>220.86572210459715</v>
      </c>
      <c r="H11">
        <v>240.868684766</v>
      </c>
      <c r="I11" s="4">
        <f t="shared" si="2"/>
        <v>226.50656499989026</v>
      </c>
      <c r="J11">
        <v>226.97673986800001</v>
      </c>
      <c r="K11" s="4">
        <f t="shared" si="3"/>
        <v>213.44294602812309</v>
      </c>
      <c r="L11">
        <v>217.86155557800001</v>
      </c>
      <c r="M11" s="4">
        <f t="shared" si="4"/>
        <v>204.87126687906874</v>
      </c>
      <c r="N11">
        <v>240.02270317</v>
      </c>
      <c r="O11" s="4">
        <f t="shared" si="5"/>
        <v>225.7110261960427</v>
      </c>
      <c r="P11">
        <v>207.826871396</v>
      </c>
      <c r="Q11" s="4">
        <f t="shared" si="6"/>
        <v>195.43491425759095</v>
      </c>
      <c r="R11">
        <v>246.16545677600001</v>
      </c>
      <c r="S11" s="4">
        <f t="shared" si="7"/>
        <v>231.48750984433201</v>
      </c>
      <c r="T11">
        <v>225.172684664</v>
      </c>
      <c r="U11" s="4">
        <f t="shared" si="8"/>
        <v>211.74646004562521</v>
      </c>
      <c r="V11">
        <v>219.35668659800001</v>
      </c>
      <c r="W11" s="4">
        <f t="shared" si="9"/>
        <v>206.27724869814159</v>
      </c>
      <c r="X11">
        <v>232.68422319999999</v>
      </c>
      <c r="Y11" s="4">
        <f t="shared" si="10"/>
        <v>218.81011297878484</v>
      </c>
      <c r="Z11">
        <v>201.72098875399999</v>
      </c>
      <c r="AA11" s="4">
        <f t="shared" si="11"/>
        <v>189.69310309240996</v>
      </c>
      <c r="AB11">
        <v>189.188754101</v>
      </c>
      <c r="AC11" s="4">
        <f t="shared" si="12"/>
        <v>177.90811981082933</v>
      </c>
      <c r="AD11">
        <v>227.859477032</v>
      </c>
      <c r="AE11" s="4">
        <f t="shared" si="13"/>
        <v>214.27304879972093</v>
      </c>
      <c r="AF11">
        <v>212.235184672</v>
      </c>
      <c r="AG11" s="4">
        <f t="shared" si="14"/>
        <v>199.5803759167527</v>
      </c>
      <c r="AH11">
        <v>208.64796781199999</v>
      </c>
      <c r="AI11" s="4">
        <f t="shared" si="15"/>
        <v>196.20705169381498</v>
      </c>
      <c r="AJ11">
        <v>229.58243940700001</v>
      </c>
      <c r="AK11" s="4">
        <f t="shared" si="16"/>
        <v>215.89327722237553</v>
      </c>
      <c r="AL11">
        <v>220.80275821800001</v>
      </c>
      <c r="AM11" s="4">
        <f t="shared" si="17"/>
        <v>207.63709635001973</v>
      </c>
      <c r="AN11">
        <v>229.93195247400001</v>
      </c>
      <c r="AO11" s="4">
        <f t="shared" si="18"/>
        <v>216.22195010198067</v>
      </c>
      <c r="AP11">
        <v>231.49739362400001</v>
      </c>
      <c r="AQ11" s="4">
        <f t="shared" si="19"/>
        <v>217.69404971484835</v>
      </c>
      <c r="AR11">
        <v>227.78799344399999</v>
      </c>
      <c r="AS11" s="4">
        <f t="shared" si="20"/>
        <v>214.20582751693991</v>
      </c>
      <c r="AT11">
        <v>250.468369989</v>
      </c>
      <c r="AU11" s="4">
        <f t="shared" si="21"/>
        <v>235.53385606121824</v>
      </c>
      <c r="AV11">
        <v>231.36813735600001</v>
      </c>
      <c r="AW11" s="4">
        <f t="shared" si="22"/>
        <v>217.57250052592897</v>
      </c>
      <c r="AX11">
        <v>243.31699657600001</v>
      </c>
      <c r="AY11" s="4">
        <f t="shared" si="23"/>
        <v>228.80889292047701</v>
      </c>
      <c r="AZ11">
        <v>267.91210938900002</v>
      </c>
      <c r="BA11" s="4">
        <f t="shared" si="24"/>
        <v>251.93748900373089</v>
      </c>
      <c r="BB11">
        <v>221.922712821</v>
      </c>
      <c r="BC11" s="4">
        <f t="shared" si="25"/>
        <v>208.6902721512983</v>
      </c>
      <c r="BD11">
        <v>231.05687666399999</v>
      </c>
      <c r="BE11" s="4">
        <f t="shared" si="26"/>
        <v>217.27979917194057</v>
      </c>
      <c r="BF11">
        <v>233.264884002</v>
      </c>
      <c r="BG11" s="4">
        <f t="shared" si="27"/>
        <v>219.35615109834728</v>
      </c>
      <c r="BH11">
        <v>243.31803704500001</v>
      </c>
      <c r="BI11" s="4">
        <f t="shared" si="28"/>
        <v>228.80987135011142</v>
      </c>
      <c r="BJ11">
        <v>237.21699238599999</v>
      </c>
      <c r="BK11" s="4">
        <f t="shared" si="29"/>
        <v>223.07260969667755</v>
      </c>
      <c r="BL11">
        <v>260.084921834</v>
      </c>
      <c r="BM11" s="4">
        <f t="shared" si="30"/>
        <v>244.57700804949104</v>
      </c>
      <c r="BN11">
        <v>244.82588674300001</v>
      </c>
      <c r="BO11" s="4">
        <f t="shared" si="31"/>
        <v>230.22781347887715</v>
      </c>
      <c r="BP11">
        <v>265.41585445999999</v>
      </c>
      <c r="BQ11" s="4">
        <f t="shared" si="32"/>
        <v>249.59007663719126</v>
      </c>
      <c r="BR11">
        <v>251.77887247999999</v>
      </c>
      <c r="BS11" s="4">
        <f t="shared" si="33"/>
        <v>236.76621807601722</v>
      </c>
      <c r="BT11">
        <v>220.65270518899999</v>
      </c>
      <c r="BU11" s="4">
        <f t="shared" si="34"/>
        <v>207.49599043498708</v>
      </c>
      <c r="BV11">
        <v>217.52381801600001</v>
      </c>
      <c r="BW11" s="4">
        <f t="shared" si="35"/>
        <v>204.553667374117</v>
      </c>
      <c r="BX11">
        <v>223.77019311199999</v>
      </c>
      <c r="BY11" s="4">
        <f t="shared" si="36"/>
        <v>210.42759394149257</v>
      </c>
      <c r="BZ11">
        <v>235.70329095100001</v>
      </c>
      <c r="CA11" s="4">
        <f t="shared" si="37"/>
        <v>221.64916474861246</v>
      </c>
      <c r="CB11">
        <v>273.46530724000002</v>
      </c>
      <c r="CC11" s="4">
        <f t="shared" si="38"/>
        <v>257.15956995301138</v>
      </c>
      <c r="CD11">
        <v>277.11118078800001</v>
      </c>
      <c r="CE11" s="4">
        <f t="shared" si="39"/>
        <v>260.58805337991976</v>
      </c>
      <c r="CH11">
        <v>8</v>
      </c>
      <c r="CI11">
        <v>0.89815492320621892</v>
      </c>
    </row>
    <row r="12" spans="1:87" x14ac:dyDescent="0.2">
      <c r="A12" s="2">
        <v>42014</v>
      </c>
      <c r="B12">
        <v>2015</v>
      </c>
      <c r="C12">
        <v>10</v>
      </c>
      <c r="D12">
        <v>251.00132561000001</v>
      </c>
      <c r="E12" s="4">
        <f t="shared" si="0"/>
        <v>170.27587728138835</v>
      </c>
      <c r="F12">
        <v>243.48230074</v>
      </c>
      <c r="G12" s="4">
        <f t="shared" si="1"/>
        <v>165.1750733197824</v>
      </c>
      <c r="H12">
        <v>253.29102517800001</v>
      </c>
      <c r="I12" s="4">
        <f t="shared" si="2"/>
        <v>171.82917825182943</v>
      </c>
      <c r="J12">
        <v>241.36439514</v>
      </c>
      <c r="K12" s="4">
        <f t="shared" si="3"/>
        <v>163.73831503508913</v>
      </c>
      <c r="L12">
        <v>255.83827210999999</v>
      </c>
      <c r="M12" s="4">
        <f t="shared" si="4"/>
        <v>173.55719584275064</v>
      </c>
      <c r="N12">
        <v>237.85279274999999</v>
      </c>
      <c r="O12" s="4">
        <f t="shared" si="5"/>
        <v>161.35609184894651</v>
      </c>
      <c r="P12">
        <v>211.31270121200001</v>
      </c>
      <c r="Q12" s="4">
        <f t="shared" si="6"/>
        <v>143.3516555824105</v>
      </c>
      <c r="R12">
        <v>231.09384345000001</v>
      </c>
      <c r="S12" s="4">
        <f t="shared" si="7"/>
        <v>156.77091279158114</v>
      </c>
      <c r="T12">
        <v>217.49606704000001</v>
      </c>
      <c r="U12" s="4">
        <f t="shared" si="8"/>
        <v>147.54636665955596</v>
      </c>
      <c r="V12">
        <v>207.35985755999999</v>
      </c>
      <c r="W12" s="4">
        <f t="shared" si="9"/>
        <v>140.67010033976499</v>
      </c>
      <c r="X12">
        <v>220.34318733999999</v>
      </c>
      <c r="Y12" s="4">
        <f t="shared" si="10"/>
        <v>149.47781425502168</v>
      </c>
      <c r="Z12">
        <v>203.59996414</v>
      </c>
      <c r="AA12" s="4">
        <f t="shared" si="11"/>
        <v>138.11943990393218</v>
      </c>
      <c r="AB12">
        <v>189.06178474000001</v>
      </c>
      <c r="AC12" s="4">
        <f t="shared" si="12"/>
        <v>128.2569372044222</v>
      </c>
      <c r="AD12">
        <v>237.52209472999999</v>
      </c>
      <c r="AE12" s="4">
        <f t="shared" si="13"/>
        <v>161.13175082073136</v>
      </c>
      <c r="AF12">
        <v>201.01169777000001</v>
      </c>
      <c r="AG12" s="4">
        <f t="shared" si="14"/>
        <v>136.36359528550796</v>
      </c>
      <c r="AH12">
        <v>196.70671797099999</v>
      </c>
      <c r="AI12" s="4">
        <f t="shared" si="15"/>
        <v>133.44315568156597</v>
      </c>
      <c r="AJ12">
        <v>231.47986793000001</v>
      </c>
      <c r="AK12" s="4">
        <f t="shared" si="16"/>
        <v>157.03278653597013</v>
      </c>
      <c r="AL12">
        <v>225.521378516</v>
      </c>
      <c r="AM12" s="4">
        <f t="shared" si="17"/>
        <v>152.99062855224236</v>
      </c>
      <c r="AN12">
        <v>221.93862535100001</v>
      </c>
      <c r="AO12" s="4">
        <f t="shared" si="18"/>
        <v>150.56013765036982</v>
      </c>
      <c r="AP12">
        <v>250.01529884999999</v>
      </c>
      <c r="AQ12" s="4">
        <f t="shared" si="19"/>
        <v>169.60697017034462</v>
      </c>
      <c r="AR12">
        <v>245.26776408000001</v>
      </c>
      <c r="AS12" s="4">
        <f t="shared" si="20"/>
        <v>166.38630730762452</v>
      </c>
      <c r="AT12">
        <v>221.00557614300001</v>
      </c>
      <c r="AU12" s="4">
        <f t="shared" si="21"/>
        <v>149.92716978833647</v>
      </c>
      <c r="AV12">
        <v>213.05354404900001</v>
      </c>
      <c r="AW12" s="4">
        <f t="shared" si="22"/>
        <v>144.53261962934855</v>
      </c>
      <c r="AX12">
        <v>226.88508081399999</v>
      </c>
      <c r="AY12" s="4">
        <f t="shared" si="23"/>
        <v>153.91574559924706</v>
      </c>
      <c r="AZ12">
        <v>228.42100691100001</v>
      </c>
      <c r="BA12" s="4">
        <f t="shared" si="24"/>
        <v>154.95769692348995</v>
      </c>
      <c r="BB12">
        <v>218.096371659</v>
      </c>
      <c r="BC12" s="4">
        <f t="shared" si="25"/>
        <v>147.95360512886634</v>
      </c>
      <c r="BD12">
        <v>217.59603881000001</v>
      </c>
      <c r="BE12" s="4">
        <f t="shared" si="26"/>
        <v>147.61418614536447</v>
      </c>
      <c r="BF12">
        <v>222.08856868000001</v>
      </c>
      <c r="BG12" s="4">
        <f t="shared" si="27"/>
        <v>150.6618571605195</v>
      </c>
      <c r="BH12">
        <v>216.60171127999999</v>
      </c>
      <c r="BI12" s="4">
        <f t="shared" si="28"/>
        <v>146.93964790512081</v>
      </c>
      <c r="BJ12">
        <v>213.51990699999999</v>
      </c>
      <c r="BK12" s="4">
        <f t="shared" si="29"/>
        <v>144.8489938971739</v>
      </c>
      <c r="BL12">
        <v>220.16815853</v>
      </c>
      <c r="BM12" s="4">
        <f t="shared" si="30"/>
        <v>149.35907709656311</v>
      </c>
      <c r="BN12">
        <v>224.33423995000001</v>
      </c>
      <c r="BO12" s="4">
        <f t="shared" si="31"/>
        <v>152.18528993385473</v>
      </c>
      <c r="BP12">
        <v>226.90060235000001</v>
      </c>
      <c r="BQ12" s="4">
        <f t="shared" si="32"/>
        <v>153.9262751976575</v>
      </c>
      <c r="BR12">
        <v>221.60010814</v>
      </c>
      <c r="BS12" s="4">
        <f t="shared" si="33"/>
        <v>150.33049218958277</v>
      </c>
      <c r="BT12">
        <v>213.46589279</v>
      </c>
      <c r="BU12" s="4">
        <f t="shared" si="34"/>
        <v>144.8123513935096</v>
      </c>
      <c r="BV12">
        <v>209.47608185000001</v>
      </c>
      <c r="BW12" s="4">
        <f t="shared" si="35"/>
        <v>142.10571804667634</v>
      </c>
      <c r="BX12">
        <v>201.17648315400001</v>
      </c>
      <c r="BY12" s="4">
        <f t="shared" si="36"/>
        <v>136.47538344342129</v>
      </c>
      <c r="BZ12">
        <v>212.87162302999999</v>
      </c>
      <c r="CA12" s="4">
        <f t="shared" si="37"/>
        <v>144.4092068902689</v>
      </c>
      <c r="CB12">
        <v>220.55945966900001</v>
      </c>
      <c r="CC12" s="4">
        <f t="shared" si="38"/>
        <v>149.62453045447867</v>
      </c>
      <c r="CD12">
        <v>227.60301591000001</v>
      </c>
      <c r="CE12" s="4">
        <f t="shared" si="39"/>
        <v>154.40278298044578</v>
      </c>
      <c r="CH12">
        <v>9</v>
      </c>
      <c r="CI12">
        <v>0.94037365305472442</v>
      </c>
    </row>
    <row r="13" spans="1:87" x14ac:dyDescent="0.2">
      <c r="A13" s="2">
        <v>42015</v>
      </c>
      <c r="B13">
        <v>2015</v>
      </c>
      <c r="C13">
        <v>11</v>
      </c>
      <c r="D13">
        <v>12.614065646</v>
      </c>
      <c r="E13" s="4">
        <f t="shared" si="0"/>
        <v>17.998657431815925</v>
      </c>
      <c r="F13">
        <v>14.304301977</v>
      </c>
      <c r="G13" s="4">
        <f t="shared" si="1"/>
        <v>20.410408373521658</v>
      </c>
      <c r="H13">
        <v>18.718164444999999</v>
      </c>
      <c r="I13" s="4">
        <f t="shared" si="2"/>
        <v>26.708425265313689</v>
      </c>
      <c r="J13">
        <v>9.8346521849999995</v>
      </c>
      <c r="K13" s="4">
        <f t="shared" si="3"/>
        <v>14.032790109587397</v>
      </c>
      <c r="L13">
        <v>21.068742749999998</v>
      </c>
      <c r="M13" s="4">
        <f t="shared" si="4"/>
        <v>30.062399698748592</v>
      </c>
      <c r="N13">
        <v>10.525906086000001</v>
      </c>
      <c r="O13" s="4">
        <f t="shared" si="5"/>
        <v>15.019120965289797</v>
      </c>
      <c r="P13">
        <v>5.4594485759999998</v>
      </c>
      <c r="Q13" s="4">
        <f t="shared" si="6"/>
        <v>7.7899344623435507</v>
      </c>
      <c r="R13">
        <v>8.6604969500000006</v>
      </c>
      <c r="S13" s="4">
        <f t="shared" si="7"/>
        <v>12.357420848032953</v>
      </c>
      <c r="T13">
        <v>8.8327825069999992</v>
      </c>
      <c r="U13" s="4">
        <f t="shared" si="8"/>
        <v>12.603250290174463</v>
      </c>
      <c r="V13">
        <v>6.6727466590000004</v>
      </c>
      <c r="W13" s="4">
        <f t="shared" si="9"/>
        <v>9.521155558812227</v>
      </c>
      <c r="X13">
        <v>9.4254276749999999</v>
      </c>
      <c r="Y13" s="4">
        <f t="shared" si="10"/>
        <v>13.448879103025579</v>
      </c>
      <c r="Z13">
        <v>9.0065362449999995</v>
      </c>
      <c r="AA13" s="4">
        <f t="shared" si="11"/>
        <v>12.851174638717172</v>
      </c>
      <c r="AB13">
        <v>6.4520914549999997</v>
      </c>
      <c r="AC13" s="4">
        <f t="shared" si="12"/>
        <v>9.2063088203538097</v>
      </c>
      <c r="AD13">
        <v>10.14316535</v>
      </c>
      <c r="AE13" s="4">
        <f t="shared" si="13"/>
        <v>14.472998915049033</v>
      </c>
      <c r="AF13">
        <v>8.2193210130000001</v>
      </c>
      <c r="AG13" s="4">
        <f t="shared" si="14"/>
        <v>11.727919244024619</v>
      </c>
      <c r="AH13">
        <v>0</v>
      </c>
      <c r="AI13" s="4">
        <f t="shared" si="15"/>
        <v>0</v>
      </c>
      <c r="AJ13">
        <v>10.486229896999999</v>
      </c>
      <c r="AK13" s="4">
        <f t="shared" si="16"/>
        <v>14.962508121021187</v>
      </c>
      <c r="AL13">
        <v>9.001289367</v>
      </c>
      <c r="AM13" s="4">
        <f t="shared" si="17"/>
        <v>12.843688015263735</v>
      </c>
      <c r="AN13">
        <v>0</v>
      </c>
      <c r="AO13" s="4">
        <f t="shared" si="18"/>
        <v>0</v>
      </c>
      <c r="AP13">
        <v>6.5587956910000003</v>
      </c>
      <c r="AQ13" s="4">
        <f t="shared" si="19"/>
        <v>9.3585621099897853</v>
      </c>
      <c r="AR13">
        <v>6.2485220429999986</v>
      </c>
      <c r="AS13" s="4">
        <f t="shared" si="20"/>
        <v>8.9158413205793732</v>
      </c>
      <c r="AT13">
        <v>0</v>
      </c>
      <c r="AU13" s="4">
        <f t="shared" si="21"/>
        <v>0</v>
      </c>
      <c r="AV13">
        <v>0</v>
      </c>
      <c r="AW13" s="4">
        <f t="shared" si="22"/>
        <v>0</v>
      </c>
      <c r="AX13">
        <v>5.4093511099999994</v>
      </c>
      <c r="AY13" s="4">
        <f t="shared" si="23"/>
        <v>7.7184517894258002</v>
      </c>
      <c r="AZ13">
        <v>5.0463373659999986</v>
      </c>
      <c r="BA13" s="4">
        <f t="shared" si="24"/>
        <v>7.2004776322698296</v>
      </c>
      <c r="BB13">
        <v>0</v>
      </c>
      <c r="BC13" s="4">
        <f t="shared" si="25"/>
        <v>0</v>
      </c>
      <c r="BD13">
        <v>5.9918546680000002</v>
      </c>
      <c r="BE13" s="4">
        <f t="shared" si="26"/>
        <v>8.549609822647275</v>
      </c>
      <c r="BF13">
        <v>0</v>
      </c>
      <c r="BG13" s="4">
        <f t="shared" si="27"/>
        <v>0</v>
      </c>
      <c r="BH13">
        <v>5.1038936380000006</v>
      </c>
      <c r="BI13" s="4">
        <f t="shared" si="28"/>
        <v>7.2826030668325519</v>
      </c>
      <c r="BJ13">
        <v>5.2728385929999986</v>
      </c>
      <c r="BK13" s="4">
        <f t="shared" si="29"/>
        <v>7.523665897423002</v>
      </c>
      <c r="BL13">
        <v>0</v>
      </c>
      <c r="BM13" s="4">
        <f t="shared" si="30"/>
        <v>0</v>
      </c>
      <c r="BN13">
        <v>6.0665693279999999</v>
      </c>
      <c r="BO13" s="4">
        <f t="shared" si="31"/>
        <v>8.6562180810957337</v>
      </c>
      <c r="BP13">
        <v>0</v>
      </c>
      <c r="BQ13" s="4">
        <f t="shared" si="32"/>
        <v>0</v>
      </c>
      <c r="BR13">
        <v>0</v>
      </c>
      <c r="BS13" s="4">
        <f t="shared" si="33"/>
        <v>0</v>
      </c>
      <c r="BT13">
        <v>5.8512983320000007</v>
      </c>
      <c r="BU13" s="4">
        <f t="shared" si="34"/>
        <v>8.3490539184263834</v>
      </c>
      <c r="BV13">
        <v>7.1970472330000002</v>
      </c>
      <c r="BW13" s="4">
        <f t="shared" si="35"/>
        <v>10.269265382207896</v>
      </c>
      <c r="BX13">
        <v>5.8291149139999998</v>
      </c>
      <c r="BY13" s="4">
        <f t="shared" si="36"/>
        <v>8.3174010197929125</v>
      </c>
      <c r="BZ13">
        <v>5.0717632769999996</v>
      </c>
      <c r="CA13" s="4">
        <f t="shared" si="37"/>
        <v>7.2367571534665478</v>
      </c>
      <c r="CB13">
        <v>5.0268182750000001</v>
      </c>
      <c r="CC13" s="4">
        <f t="shared" si="38"/>
        <v>7.1726263873065674</v>
      </c>
      <c r="CD13">
        <v>5.6104156970000014</v>
      </c>
      <c r="CE13" s="4">
        <f t="shared" si="39"/>
        <v>8.0053452244722685</v>
      </c>
      <c r="CH13">
        <v>10</v>
      </c>
      <c r="CI13">
        <v>0.67838636655632256</v>
      </c>
    </row>
    <row r="14" spans="1:87" x14ac:dyDescent="0.2">
      <c r="A14" s="2">
        <v>42016</v>
      </c>
      <c r="B14">
        <v>2015</v>
      </c>
      <c r="C14">
        <v>12</v>
      </c>
      <c r="D14">
        <v>263.29318616</v>
      </c>
      <c r="E14" s="4">
        <f t="shared" si="0"/>
        <v>31.281980496648902</v>
      </c>
      <c r="F14">
        <v>279.77471928</v>
      </c>
      <c r="G14" s="4">
        <f t="shared" si="1"/>
        <v>33.240158773626433</v>
      </c>
      <c r="H14">
        <v>342.54794507000003</v>
      </c>
      <c r="I14" s="4">
        <f t="shared" si="2"/>
        <v>40.698273636049116</v>
      </c>
      <c r="J14">
        <v>262.91833501000002</v>
      </c>
      <c r="K14" s="4">
        <f t="shared" si="3"/>
        <v>31.237444264874487</v>
      </c>
      <c r="L14">
        <v>388.83457562000001</v>
      </c>
      <c r="M14" s="4">
        <f t="shared" si="4"/>
        <v>46.197608788766658</v>
      </c>
      <c r="N14">
        <v>221.6509571</v>
      </c>
      <c r="O14" s="4">
        <f t="shared" si="5"/>
        <v>26.334448749662098</v>
      </c>
      <c r="P14">
        <v>101.85886479</v>
      </c>
      <c r="Q14" s="4">
        <f t="shared" si="6"/>
        <v>12.101897007829416</v>
      </c>
      <c r="R14">
        <v>193.03499794000001</v>
      </c>
      <c r="S14" s="4">
        <f t="shared" si="7"/>
        <v>22.934573920421204</v>
      </c>
      <c r="T14">
        <v>162.64434051000001</v>
      </c>
      <c r="U14" s="4">
        <f t="shared" si="8"/>
        <v>19.323846400766055</v>
      </c>
      <c r="V14">
        <v>120.59922695</v>
      </c>
      <c r="W14" s="4">
        <f t="shared" si="9"/>
        <v>14.328447767228898</v>
      </c>
      <c r="X14">
        <v>244.13076781999999</v>
      </c>
      <c r="Y14" s="4">
        <f t="shared" si="10"/>
        <v>29.005285054875348</v>
      </c>
      <c r="Z14">
        <v>206.42498207</v>
      </c>
      <c r="AA14" s="4">
        <f t="shared" si="11"/>
        <v>24.525443887525324</v>
      </c>
      <c r="AB14">
        <v>126.45145416</v>
      </c>
      <c r="AC14" s="4">
        <f t="shared" si="12"/>
        <v>15.023753483700911</v>
      </c>
      <c r="AD14">
        <v>292.16650773999999</v>
      </c>
      <c r="AE14" s="4">
        <f t="shared" si="13"/>
        <v>34.712432669422405</v>
      </c>
      <c r="AF14">
        <v>203.47820277</v>
      </c>
      <c r="AG14" s="4">
        <f t="shared" si="14"/>
        <v>24.175335728879276</v>
      </c>
      <c r="AH14">
        <v>140.11303328299999</v>
      </c>
      <c r="AI14" s="4">
        <f t="shared" si="15"/>
        <v>16.646891772662972</v>
      </c>
      <c r="AJ14">
        <v>219.57251163999999</v>
      </c>
      <c r="AK14" s="4">
        <f t="shared" si="16"/>
        <v>26.087507720570834</v>
      </c>
      <c r="AL14">
        <v>167.82176304000001</v>
      </c>
      <c r="AM14" s="4">
        <f t="shared" si="17"/>
        <v>19.938978273217739</v>
      </c>
      <c r="AN14">
        <v>140.926162253</v>
      </c>
      <c r="AO14" s="4">
        <f t="shared" si="18"/>
        <v>16.743499987071313</v>
      </c>
      <c r="AP14">
        <v>260.25035862999999</v>
      </c>
      <c r="AQ14" s="4">
        <f t="shared" si="19"/>
        <v>30.920460805097584</v>
      </c>
      <c r="AR14">
        <v>128.95724296899999</v>
      </c>
      <c r="AS14" s="4">
        <f t="shared" si="20"/>
        <v>15.321467366065587</v>
      </c>
      <c r="AT14">
        <v>27.157647127000001</v>
      </c>
      <c r="AU14" s="4">
        <f t="shared" si="21"/>
        <v>3.226612128296511</v>
      </c>
      <c r="AV14">
        <v>72.594081399000004</v>
      </c>
      <c r="AW14" s="4">
        <f t="shared" si="22"/>
        <v>8.6249350832636864</v>
      </c>
      <c r="AX14">
        <v>69.748487476999998</v>
      </c>
      <c r="AY14" s="4">
        <f t="shared" si="23"/>
        <v>8.2868488043605435</v>
      </c>
      <c r="AZ14">
        <v>64.259661195999996</v>
      </c>
      <c r="BA14" s="4">
        <f t="shared" si="24"/>
        <v>7.6347189138156546</v>
      </c>
      <c r="BB14">
        <v>88.500720979999997</v>
      </c>
      <c r="BC14" s="4">
        <f t="shared" si="25"/>
        <v>10.514810003299351</v>
      </c>
      <c r="BD14">
        <v>103.64523316</v>
      </c>
      <c r="BE14" s="4">
        <f t="shared" si="26"/>
        <v>12.3141362280127</v>
      </c>
      <c r="BF14">
        <v>104.1478405</v>
      </c>
      <c r="BG14" s="4">
        <f t="shared" si="27"/>
        <v>12.373851229515997</v>
      </c>
      <c r="BH14">
        <v>76.973196040000005</v>
      </c>
      <c r="BI14" s="4">
        <f t="shared" si="28"/>
        <v>9.145219640529465</v>
      </c>
      <c r="BJ14">
        <v>50.454428669999999</v>
      </c>
      <c r="BK14" s="4">
        <f t="shared" si="29"/>
        <v>5.9945131001809555</v>
      </c>
      <c r="BL14">
        <v>42.079968446000002</v>
      </c>
      <c r="BM14" s="4">
        <f t="shared" si="30"/>
        <v>4.9995397580378205</v>
      </c>
      <c r="BN14">
        <v>63.971720687000001</v>
      </c>
      <c r="BO14" s="4">
        <f t="shared" si="31"/>
        <v>7.6005085739352314</v>
      </c>
      <c r="BP14">
        <v>61.561249975000003</v>
      </c>
      <c r="BQ14" s="4">
        <f t="shared" si="32"/>
        <v>7.3141194770495073</v>
      </c>
      <c r="BR14">
        <v>2.266056538</v>
      </c>
      <c r="BS14" s="4">
        <f t="shared" si="33"/>
        <v>0.26923118467237028</v>
      </c>
      <c r="BT14">
        <v>109.878801344</v>
      </c>
      <c r="BU14" s="4">
        <f t="shared" si="34"/>
        <v>13.05474923513367</v>
      </c>
      <c r="BV14">
        <v>58.547443154</v>
      </c>
      <c r="BW14" s="4">
        <f t="shared" si="35"/>
        <v>6.9560477488358572</v>
      </c>
      <c r="BX14">
        <v>48.362457757999998</v>
      </c>
      <c r="BY14" s="4">
        <f t="shared" si="36"/>
        <v>5.7459651061247285</v>
      </c>
      <c r="BZ14">
        <v>11.513340355</v>
      </c>
      <c r="CA14" s="4">
        <f t="shared" si="37"/>
        <v>1.3679050859201725</v>
      </c>
      <c r="CB14">
        <v>5.5438373089999997</v>
      </c>
      <c r="CC14" s="4">
        <f t="shared" si="38"/>
        <v>0.6586657752371381</v>
      </c>
      <c r="CD14">
        <v>0.59966498599999996</v>
      </c>
      <c r="CE14" s="4">
        <f t="shared" si="39"/>
        <v>7.1246463572269589E-2</v>
      </c>
      <c r="CH14">
        <v>11</v>
      </c>
      <c r="CI14">
        <v>1.4268720281730429</v>
      </c>
    </row>
    <row r="15" spans="1:87" x14ac:dyDescent="0.2">
      <c r="A15" s="2">
        <v>42017</v>
      </c>
      <c r="B15">
        <v>2016</v>
      </c>
      <c r="C15">
        <v>1</v>
      </c>
      <c r="D15">
        <v>21.715362072000001</v>
      </c>
      <c r="E15" s="4">
        <f t="shared" si="0"/>
        <v>48.543575531034513</v>
      </c>
      <c r="F15">
        <v>22.766274452000001</v>
      </c>
      <c r="G15" s="4">
        <f t="shared" si="1"/>
        <v>50.892836129401815</v>
      </c>
      <c r="H15">
        <v>32.109322546000001</v>
      </c>
      <c r="I15" s="4">
        <f t="shared" si="2"/>
        <v>71.77873981995009</v>
      </c>
      <c r="J15">
        <v>22.493252278</v>
      </c>
      <c r="K15" s="4">
        <f t="shared" si="3"/>
        <v>50.282509095421318</v>
      </c>
      <c r="L15">
        <v>32.983612057999999</v>
      </c>
      <c r="M15" s="4">
        <f t="shared" si="4"/>
        <v>73.733169077037516</v>
      </c>
      <c r="N15">
        <v>21.537697314999999</v>
      </c>
      <c r="O15" s="4">
        <f t="shared" si="5"/>
        <v>48.146415100458363</v>
      </c>
      <c r="P15">
        <v>8.5938646789999993</v>
      </c>
      <c r="Q15" s="4">
        <f t="shared" si="6"/>
        <v>19.211142681633575</v>
      </c>
      <c r="R15">
        <v>16.576128483000002</v>
      </c>
      <c r="S15" s="4">
        <f t="shared" si="7"/>
        <v>37.055083049441087</v>
      </c>
      <c r="T15">
        <v>13.386709214</v>
      </c>
      <c r="U15" s="4">
        <f t="shared" si="8"/>
        <v>29.925300240778071</v>
      </c>
      <c r="V15">
        <v>7.8603997229999996</v>
      </c>
      <c r="W15" s="4">
        <f t="shared" si="9"/>
        <v>17.57151947973162</v>
      </c>
      <c r="X15">
        <v>14.996695518999999</v>
      </c>
      <c r="Y15" s="4">
        <f t="shared" si="10"/>
        <v>33.524341856642806</v>
      </c>
      <c r="Z15">
        <v>8.9010279180000005</v>
      </c>
      <c r="AA15" s="4">
        <f t="shared" si="11"/>
        <v>19.897790311238605</v>
      </c>
      <c r="AB15">
        <v>0</v>
      </c>
      <c r="AC15" s="4">
        <f t="shared" si="12"/>
        <v>0</v>
      </c>
      <c r="AD15">
        <v>14.668429375000001</v>
      </c>
      <c r="AE15" s="4">
        <f t="shared" si="13"/>
        <v>32.790519767804952</v>
      </c>
      <c r="AF15">
        <v>8.0446894170000007</v>
      </c>
      <c r="AG15" s="4">
        <f t="shared" si="14"/>
        <v>17.98348961638504</v>
      </c>
      <c r="AH15">
        <v>0</v>
      </c>
      <c r="AI15" s="4">
        <f t="shared" si="15"/>
        <v>0</v>
      </c>
      <c r="AJ15">
        <v>15.905997752999999</v>
      </c>
      <c r="AK15" s="4">
        <f t="shared" si="16"/>
        <v>35.557040253766608</v>
      </c>
      <c r="AL15">
        <v>12.524500847000001</v>
      </c>
      <c r="AM15" s="4">
        <f t="shared" si="17"/>
        <v>27.99787776224974</v>
      </c>
      <c r="AN15">
        <v>6.3702926630000007</v>
      </c>
      <c r="AO15" s="4">
        <f t="shared" si="18"/>
        <v>14.240461753104658</v>
      </c>
      <c r="AP15">
        <v>16.624991417</v>
      </c>
      <c r="AQ15" s="4">
        <f t="shared" si="19"/>
        <v>37.164313626367793</v>
      </c>
      <c r="AR15">
        <v>14.294422150000001</v>
      </c>
      <c r="AS15" s="4">
        <f t="shared" si="20"/>
        <v>31.954445843928259</v>
      </c>
      <c r="AT15">
        <v>0</v>
      </c>
      <c r="AU15" s="4">
        <f t="shared" si="21"/>
        <v>0</v>
      </c>
      <c r="AV15">
        <v>0</v>
      </c>
      <c r="AW15" s="4">
        <f t="shared" si="22"/>
        <v>0</v>
      </c>
      <c r="AX15">
        <v>0</v>
      </c>
      <c r="AY15" s="4">
        <f t="shared" si="23"/>
        <v>0</v>
      </c>
      <c r="AZ15">
        <v>0</v>
      </c>
      <c r="BA15" s="4">
        <f t="shared" si="24"/>
        <v>0</v>
      </c>
      <c r="BB15">
        <v>0</v>
      </c>
      <c r="BC15" s="4">
        <f t="shared" si="25"/>
        <v>0</v>
      </c>
      <c r="BD15">
        <v>0</v>
      </c>
      <c r="BE15" s="4">
        <f t="shared" si="26"/>
        <v>0</v>
      </c>
      <c r="BF15">
        <v>0</v>
      </c>
      <c r="BG15" s="4">
        <f t="shared" si="27"/>
        <v>0</v>
      </c>
      <c r="BH15">
        <v>0</v>
      </c>
      <c r="BI15" s="4">
        <f t="shared" si="28"/>
        <v>0</v>
      </c>
      <c r="BJ15">
        <v>0</v>
      </c>
      <c r="BK15" s="4">
        <f t="shared" si="29"/>
        <v>0</v>
      </c>
      <c r="BL15">
        <v>0</v>
      </c>
      <c r="BM15" s="4">
        <f t="shared" si="30"/>
        <v>0</v>
      </c>
      <c r="BN15">
        <v>0</v>
      </c>
      <c r="BO15" s="4">
        <f t="shared" si="31"/>
        <v>0</v>
      </c>
      <c r="BP15">
        <v>0</v>
      </c>
      <c r="BQ15" s="4">
        <f t="shared" si="32"/>
        <v>0</v>
      </c>
      <c r="BR15">
        <v>0</v>
      </c>
      <c r="BS15" s="4">
        <f t="shared" si="33"/>
        <v>0</v>
      </c>
      <c r="BT15">
        <v>5.9538881769999996</v>
      </c>
      <c r="BU15" s="4">
        <f t="shared" si="34"/>
        <v>13.309610931894245</v>
      </c>
      <c r="BV15">
        <v>6.1885483269999986</v>
      </c>
      <c r="BW15" s="4">
        <f t="shared" si="35"/>
        <v>13.834181633404068</v>
      </c>
      <c r="BX15">
        <v>0</v>
      </c>
      <c r="BY15" s="4">
        <f t="shared" si="36"/>
        <v>0</v>
      </c>
      <c r="BZ15">
        <v>0</v>
      </c>
      <c r="CA15" s="4">
        <f t="shared" si="37"/>
        <v>0</v>
      </c>
      <c r="CB15">
        <v>0</v>
      </c>
      <c r="CC15" s="4">
        <f t="shared" si="38"/>
        <v>0</v>
      </c>
      <c r="CD15">
        <v>0</v>
      </c>
      <c r="CE15" s="4">
        <f t="shared" si="39"/>
        <v>0</v>
      </c>
      <c r="CH15">
        <v>12</v>
      </c>
      <c r="CI15">
        <v>0.118810444557571</v>
      </c>
    </row>
    <row r="16" spans="1:87" x14ac:dyDescent="0.2">
      <c r="A16" s="2">
        <v>42018</v>
      </c>
      <c r="B16">
        <v>2016</v>
      </c>
      <c r="C16">
        <v>2</v>
      </c>
      <c r="D16">
        <v>16.386256695</v>
      </c>
      <c r="E16" s="4">
        <f t="shared" si="0"/>
        <v>4.1269203689308291</v>
      </c>
      <c r="F16">
        <v>18.209253311000001</v>
      </c>
      <c r="G16" s="4">
        <f t="shared" si="1"/>
        <v>4.5860466969931748</v>
      </c>
      <c r="H16">
        <v>22.583003997999999</v>
      </c>
      <c r="I16" s="4">
        <f t="shared" si="2"/>
        <v>5.687586916628157</v>
      </c>
      <c r="J16">
        <v>16.830553054999999</v>
      </c>
      <c r="K16" s="4">
        <f t="shared" si="3"/>
        <v>4.2388175356879758</v>
      </c>
      <c r="L16">
        <v>23.163264752</v>
      </c>
      <c r="M16" s="4">
        <f t="shared" si="4"/>
        <v>5.8337270613571519</v>
      </c>
      <c r="N16">
        <v>15.947742937999999</v>
      </c>
      <c r="O16" s="4">
        <f t="shared" si="5"/>
        <v>4.0164795654267627</v>
      </c>
      <c r="P16">
        <v>5.9093523020000003</v>
      </c>
      <c r="Q16" s="4">
        <f t="shared" si="6"/>
        <v>1.488285386726153</v>
      </c>
      <c r="R16">
        <v>12.441877842</v>
      </c>
      <c r="S16" s="4">
        <f t="shared" si="7"/>
        <v>3.133518536272323</v>
      </c>
      <c r="T16">
        <v>11.331510067</v>
      </c>
      <c r="U16" s="4">
        <f t="shared" si="8"/>
        <v>2.8538695918584258</v>
      </c>
      <c r="V16">
        <v>6.4611189370000002</v>
      </c>
      <c r="W16" s="4">
        <f t="shared" si="9"/>
        <v>1.6272492152113212</v>
      </c>
      <c r="X16">
        <v>11.20782423</v>
      </c>
      <c r="Y16" s="4">
        <f t="shared" si="10"/>
        <v>2.822718999653965</v>
      </c>
      <c r="Z16">
        <v>6.9809262759999999</v>
      </c>
      <c r="AA16" s="4">
        <f t="shared" si="11"/>
        <v>1.7581640138238319</v>
      </c>
      <c r="AB16">
        <v>0</v>
      </c>
      <c r="AC16" s="4">
        <f t="shared" si="12"/>
        <v>0</v>
      </c>
      <c r="AD16">
        <v>10.858130932</v>
      </c>
      <c r="AE16" s="4">
        <f t="shared" si="13"/>
        <v>2.7346478543486952</v>
      </c>
      <c r="AF16">
        <v>6.2396495339999998</v>
      </c>
      <c r="AG16" s="4">
        <f t="shared" si="14"/>
        <v>1.5714715835442583</v>
      </c>
      <c r="AH16">
        <v>0</v>
      </c>
      <c r="AI16" s="4">
        <f t="shared" si="15"/>
        <v>0</v>
      </c>
      <c r="AJ16">
        <v>12.770046710000001</v>
      </c>
      <c r="AK16" s="4">
        <f t="shared" si="16"/>
        <v>3.2161686992110878</v>
      </c>
      <c r="AL16">
        <v>9.6153306960000009</v>
      </c>
      <c r="AM16" s="4">
        <f t="shared" si="17"/>
        <v>2.4216454582599378</v>
      </c>
      <c r="AN16">
        <v>5.7770037649999999</v>
      </c>
      <c r="AO16" s="4">
        <f t="shared" si="18"/>
        <v>1.4549530715238554</v>
      </c>
      <c r="AP16">
        <v>13.877202988000001</v>
      </c>
      <c r="AQ16" s="4">
        <f t="shared" si="19"/>
        <v>3.4950088199484886</v>
      </c>
      <c r="AR16">
        <v>13.437828064</v>
      </c>
      <c r="AS16" s="4">
        <f t="shared" si="20"/>
        <v>3.3843511293481496</v>
      </c>
      <c r="AT16">
        <v>0</v>
      </c>
      <c r="AU16" s="4">
        <f t="shared" si="21"/>
        <v>0</v>
      </c>
      <c r="AV16">
        <v>0</v>
      </c>
      <c r="AW16" s="4">
        <f t="shared" si="22"/>
        <v>0</v>
      </c>
      <c r="AX16">
        <v>0</v>
      </c>
      <c r="AY16" s="4">
        <f t="shared" si="23"/>
        <v>0</v>
      </c>
      <c r="AZ16">
        <v>0</v>
      </c>
      <c r="BA16" s="4">
        <f t="shared" si="24"/>
        <v>0</v>
      </c>
      <c r="BB16">
        <v>5.5681042670000007</v>
      </c>
      <c r="BC16" s="4">
        <f t="shared" si="25"/>
        <v>1.4023412023579902</v>
      </c>
      <c r="BD16">
        <v>5.024591923</v>
      </c>
      <c r="BE16" s="4">
        <f t="shared" si="26"/>
        <v>1.2654562380266694</v>
      </c>
      <c r="BF16">
        <v>5.1888992790000001</v>
      </c>
      <c r="BG16" s="4">
        <f t="shared" si="27"/>
        <v>1.3068374629679629</v>
      </c>
      <c r="BH16">
        <v>0</v>
      </c>
      <c r="BI16" s="4">
        <f t="shared" si="28"/>
        <v>0</v>
      </c>
      <c r="BJ16">
        <v>0</v>
      </c>
      <c r="BK16" s="4">
        <f t="shared" si="29"/>
        <v>0</v>
      </c>
      <c r="BL16">
        <v>0</v>
      </c>
      <c r="BM16" s="4">
        <f t="shared" si="30"/>
        <v>0</v>
      </c>
      <c r="BN16">
        <v>6.0120470519999998</v>
      </c>
      <c r="BO16" s="4">
        <f t="shared" si="31"/>
        <v>1.5141493203533234</v>
      </c>
      <c r="BP16">
        <v>6.4456787110000002</v>
      </c>
      <c r="BQ16" s="4">
        <f t="shared" si="32"/>
        <v>1.6233605550757981</v>
      </c>
      <c r="BR16">
        <v>0</v>
      </c>
      <c r="BS16" s="4">
        <f t="shared" si="33"/>
        <v>0</v>
      </c>
      <c r="BT16">
        <v>5.0640988350000002</v>
      </c>
      <c r="BU16" s="4">
        <f t="shared" si="34"/>
        <v>1.2754061541595045</v>
      </c>
      <c r="BV16">
        <v>5.3437087529999996</v>
      </c>
      <c r="BW16" s="4">
        <f t="shared" si="35"/>
        <v>1.3458266222033977</v>
      </c>
      <c r="BX16">
        <v>0</v>
      </c>
      <c r="BY16" s="4">
        <f t="shared" si="36"/>
        <v>0</v>
      </c>
      <c r="BZ16">
        <v>0</v>
      </c>
      <c r="CA16" s="4">
        <f t="shared" si="37"/>
        <v>0</v>
      </c>
      <c r="CB16">
        <v>0</v>
      </c>
      <c r="CC16" s="4">
        <f t="shared" si="38"/>
        <v>0</v>
      </c>
      <c r="CD16">
        <v>5.5058588979999996</v>
      </c>
      <c r="CE16" s="4">
        <f t="shared" si="39"/>
        <v>1.3866645480751298</v>
      </c>
    </row>
    <row r="17" spans="1:83" x14ac:dyDescent="0.2">
      <c r="A17" s="2">
        <v>42019</v>
      </c>
      <c r="B17">
        <v>2016</v>
      </c>
      <c r="C17">
        <v>3</v>
      </c>
      <c r="D17">
        <v>49.573471546</v>
      </c>
      <c r="E17" s="4">
        <f t="shared" si="0"/>
        <v>4.4493426876036368</v>
      </c>
      <c r="F17">
        <v>49.203790665</v>
      </c>
      <c r="G17" s="4">
        <f t="shared" si="1"/>
        <v>4.4161629066980783</v>
      </c>
      <c r="H17">
        <v>58.998029709999997</v>
      </c>
      <c r="I17" s="4">
        <f t="shared" si="2"/>
        <v>5.2952202838897513</v>
      </c>
      <c r="J17">
        <v>53.872421265</v>
      </c>
      <c r="K17" s="4">
        <f t="shared" si="3"/>
        <v>4.8351841447398325</v>
      </c>
      <c r="L17">
        <v>76.573909759000003</v>
      </c>
      <c r="M17" s="4">
        <f t="shared" si="4"/>
        <v>6.8726993454812479</v>
      </c>
      <c r="N17">
        <v>54.386344905999998</v>
      </c>
      <c r="O17" s="4">
        <f t="shared" si="5"/>
        <v>4.8813100730389669</v>
      </c>
      <c r="P17">
        <v>23.095163822</v>
      </c>
      <c r="Q17" s="4">
        <f t="shared" si="6"/>
        <v>2.0728485430977481</v>
      </c>
      <c r="R17">
        <v>40.036948203000001</v>
      </c>
      <c r="S17" s="4">
        <f t="shared" si="7"/>
        <v>3.5934159373060348</v>
      </c>
      <c r="T17">
        <v>34.189849375999998</v>
      </c>
      <c r="U17" s="4">
        <f t="shared" si="8"/>
        <v>3.0686242372640504</v>
      </c>
      <c r="V17">
        <v>24.726068974</v>
      </c>
      <c r="W17" s="4">
        <f t="shared" si="9"/>
        <v>2.2192263473129104</v>
      </c>
      <c r="X17">
        <v>37.131067276000003</v>
      </c>
      <c r="Y17" s="4">
        <f t="shared" si="10"/>
        <v>3.3326058780065351</v>
      </c>
      <c r="Z17">
        <v>25.699741364000001</v>
      </c>
      <c r="AA17" s="4">
        <f t="shared" si="11"/>
        <v>2.3066158722637327</v>
      </c>
      <c r="AB17">
        <v>14.408444880999999</v>
      </c>
      <c r="AC17" s="4">
        <f t="shared" si="12"/>
        <v>1.2931938569508994</v>
      </c>
      <c r="AD17">
        <v>32.963654517999998</v>
      </c>
      <c r="AE17" s="4">
        <f t="shared" si="13"/>
        <v>2.9585701911205002</v>
      </c>
      <c r="AF17">
        <v>22.818762302</v>
      </c>
      <c r="AG17" s="4">
        <f t="shared" si="14"/>
        <v>2.0480408174432441</v>
      </c>
      <c r="AH17">
        <v>10.854250907999999</v>
      </c>
      <c r="AI17" s="4">
        <f t="shared" si="15"/>
        <v>0.97419608514025324</v>
      </c>
      <c r="AJ17">
        <v>35.400985241000001</v>
      </c>
      <c r="AK17" s="4">
        <f t="shared" si="16"/>
        <v>3.1773267012347644</v>
      </c>
      <c r="AL17">
        <v>25.595048903999999</v>
      </c>
      <c r="AM17" s="4">
        <f t="shared" si="17"/>
        <v>2.297219462917738</v>
      </c>
      <c r="AN17">
        <v>16.828380108000001</v>
      </c>
      <c r="AO17" s="4">
        <f t="shared" si="18"/>
        <v>1.5103890779217755</v>
      </c>
      <c r="AP17">
        <v>34.923441885999999</v>
      </c>
      <c r="AQ17" s="4">
        <f t="shared" si="19"/>
        <v>3.1344659943219679</v>
      </c>
      <c r="AR17">
        <v>31.424731731000001</v>
      </c>
      <c r="AS17" s="4">
        <f t="shared" si="20"/>
        <v>2.8204480335312048</v>
      </c>
      <c r="AT17">
        <v>12.250721930999999</v>
      </c>
      <c r="AU17" s="4">
        <f t="shared" si="21"/>
        <v>1.0995328416929979</v>
      </c>
      <c r="AV17">
        <v>12.790574074</v>
      </c>
      <c r="AW17" s="4">
        <f t="shared" si="22"/>
        <v>1.1479859177019147</v>
      </c>
      <c r="AX17">
        <v>14.717575550999999</v>
      </c>
      <c r="AY17" s="4">
        <f t="shared" si="23"/>
        <v>1.3209391054312734</v>
      </c>
      <c r="AZ17">
        <v>12.959448814</v>
      </c>
      <c r="BA17" s="4">
        <f t="shared" si="24"/>
        <v>1.1631428467227669</v>
      </c>
      <c r="BB17">
        <v>17.738178254000001</v>
      </c>
      <c r="BC17" s="4">
        <f t="shared" si="25"/>
        <v>1.5920457301968585</v>
      </c>
      <c r="BD17">
        <v>16.957443714</v>
      </c>
      <c r="BE17" s="4">
        <f t="shared" si="26"/>
        <v>1.5219728583931309</v>
      </c>
      <c r="BF17">
        <v>20.825210571</v>
      </c>
      <c r="BG17" s="4">
        <f t="shared" si="27"/>
        <v>1.8691145784677505</v>
      </c>
      <c r="BH17">
        <v>15.378928184999999</v>
      </c>
      <c r="BI17" s="4">
        <f t="shared" si="28"/>
        <v>1.3802971534809207</v>
      </c>
      <c r="BJ17">
        <v>18.213502884</v>
      </c>
      <c r="BK17" s="4">
        <f t="shared" si="29"/>
        <v>1.6347073010082949</v>
      </c>
      <c r="BL17">
        <v>18.033166409</v>
      </c>
      <c r="BM17" s="4">
        <f t="shared" si="30"/>
        <v>1.6185216526902235</v>
      </c>
      <c r="BN17">
        <v>19.331934928999999</v>
      </c>
      <c r="BO17" s="4">
        <f t="shared" si="31"/>
        <v>1.7350893659678721</v>
      </c>
      <c r="BP17">
        <v>18.103160857999999</v>
      </c>
      <c r="BQ17" s="4">
        <f t="shared" si="32"/>
        <v>1.6248038290260489</v>
      </c>
      <c r="BR17">
        <v>12.244135379999999</v>
      </c>
      <c r="BS17" s="4">
        <f t="shared" si="33"/>
        <v>1.0989416823165321</v>
      </c>
      <c r="BT17">
        <v>18.985559463000001</v>
      </c>
      <c r="BU17" s="4">
        <f t="shared" si="34"/>
        <v>1.704001304172919</v>
      </c>
      <c r="BV17">
        <v>23.321271418999999</v>
      </c>
      <c r="BW17" s="4">
        <f t="shared" si="35"/>
        <v>2.0931422637501349</v>
      </c>
      <c r="BX17">
        <v>15.038459301</v>
      </c>
      <c r="BY17" s="4">
        <f t="shared" si="36"/>
        <v>1.3497392221491136</v>
      </c>
      <c r="BZ17">
        <v>15.306762696</v>
      </c>
      <c r="CA17" s="4">
        <f t="shared" si="37"/>
        <v>1.3738201208913927</v>
      </c>
      <c r="CB17">
        <v>13.439012051000001</v>
      </c>
      <c r="CC17" s="4">
        <f t="shared" si="38"/>
        <v>1.2061848430818387</v>
      </c>
      <c r="CD17">
        <v>15.553312778</v>
      </c>
      <c r="CE17" s="4">
        <f t="shared" si="39"/>
        <v>1.3959486055478862</v>
      </c>
    </row>
    <row r="18" spans="1:83" x14ac:dyDescent="0.2">
      <c r="A18" s="2">
        <v>42020</v>
      </c>
      <c r="B18">
        <v>2016</v>
      </c>
      <c r="C18">
        <v>4</v>
      </c>
      <c r="D18">
        <v>34.483100899999997</v>
      </c>
      <c r="E18" s="4">
        <f t="shared" si="0"/>
        <v>8.7606851680738682</v>
      </c>
      <c r="F18">
        <v>42.258060460000003</v>
      </c>
      <c r="G18" s="4">
        <f t="shared" si="1"/>
        <v>10.735970775281722</v>
      </c>
      <c r="H18">
        <v>46.437412260000002</v>
      </c>
      <c r="I18" s="4">
        <f t="shared" si="2"/>
        <v>11.797765810264286</v>
      </c>
      <c r="J18">
        <v>31.160257340000001</v>
      </c>
      <c r="K18" s="4">
        <f t="shared" si="3"/>
        <v>7.9164923451505169</v>
      </c>
      <c r="L18">
        <v>38.876091000000002</v>
      </c>
      <c r="M18" s="4">
        <f t="shared" si="4"/>
        <v>9.8767565830017929</v>
      </c>
      <c r="N18">
        <v>34.021656040000003</v>
      </c>
      <c r="O18" s="4">
        <f t="shared" si="5"/>
        <v>8.6434517106591997</v>
      </c>
      <c r="P18">
        <v>25.901527399999999</v>
      </c>
      <c r="Q18" s="4">
        <f t="shared" si="6"/>
        <v>6.5804733623488865</v>
      </c>
      <c r="R18">
        <v>24.92900848</v>
      </c>
      <c r="S18" s="4">
        <f t="shared" si="7"/>
        <v>6.3333977845804377</v>
      </c>
      <c r="T18">
        <v>27.611465925000001</v>
      </c>
      <c r="U18" s="4">
        <f t="shared" si="8"/>
        <v>7.0148958093825176</v>
      </c>
      <c r="V18">
        <v>23.749188420999999</v>
      </c>
      <c r="W18" s="4">
        <f t="shared" si="9"/>
        <v>6.0336558291846183</v>
      </c>
      <c r="X18">
        <v>26.671796799999999</v>
      </c>
      <c r="Y18" s="4">
        <f t="shared" si="10"/>
        <v>6.7761659634165925</v>
      </c>
      <c r="Z18">
        <v>23.050273900000001</v>
      </c>
      <c r="AA18" s="4">
        <f t="shared" si="11"/>
        <v>5.8560914594479003</v>
      </c>
      <c r="AB18">
        <v>15.989696501999999</v>
      </c>
      <c r="AC18" s="4">
        <f t="shared" si="12"/>
        <v>4.0622998898302098</v>
      </c>
      <c r="AD18">
        <v>29.477167120000001</v>
      </c>
      <c r="AE18" s="4">
        <f t="shared" si="13"/>
        <v>7.4888909072855077</v>
      </c>
      <c r="AF18">
        <v>26.032217020000001</v>
      </c>
      <c r="AG18" s="4">
        <f t="shared" si="14"/>
        <v>6.6136760206270813</v>
      </c>
      <c r="AH18">
        <v>22.405033119999999</v>
      </c>
      <c r="AI18" s="4">
        <f t="shared" si="15"/>
        <v>5.6921632980109331</v>
      </c>
      <c r="AJ18">
        <v>36.879344940000003</v>
      </c>
      <c r="AK18" s="4">
        <f t="shared" si="16"/>
        <v>9.36946857421799</v>
      </c>
      <c r="AL18">
        <v>39.060371400000001</v>
      </c>
      <c r="AM18" s="4">
        <f t="shared" si="17"/>
        <v>9.9235743727280834</v>
      </c>
      <c r="AN18">
        <v>36.106670379999997</v>
      </c>
      <c r="AO18" s="4">
        <f t="shared" si="18"/>
        <v>9.1731649245789857</v>
      </c>
      <c r="AP18">
        <v>44.864562980000002</v>
      </c>
      <c r="AQ18" s="4">
        <f t="shared" si="19"/>
        <v>11.398171893265028</v>
      </c>
      <c r="AR18">
        <v>49.389465340000001</v>
      </c>
      <c r="AS18" s="4">
        <f t="shared" si="20"/>
        <v>12.547756587147196</v>
      </c>
      <c r="AT18">
        <v>35.975172045000001</v>
      </c>
      <c r="AU18" s="4">
        <f t="shared" si="21"/>
        <v>9.1397568063125423</v>
      </c>
      <c r="AV18">
        <v>29.660377027999999</v>
      </c>
      <c r="AW18" s="4">
        <f t="shared" si="22"/>
        <v>7.535436730653144</v>
      </c>
      <c r="AX18">
        <v>38.306491856000001</v>
      </c>
      <c r="AY18" s="4">
        <f t="shared" si="23"/>
        <v>9.7320457350110772</v>
      </c>
      <c r="AZ18">
        <v>38.487701412</v>
      </c>
      <c r="BA18" s="4">
        <f t="shared" si="24"/>
        <v>9.7780833542543757</v>
      </c>
      <c r="BB18">
        <v>24.095572473000001</v>
      </c>
      <c r="BC18" s="4">
        <f t="shared" si="25"/>
        <v>6.1216572428513842</v>
      </c>
      <c r="BD18">
        <v>26.850133895999999</v>
      </c>
      <c r="BE18" s="4">
        <f t="shared" si="26"/>
        <v>6.8214738130898382</v>
      </c>
      <c r="BF18">
        <v>24.870800973000001</v>
      </c>
      <c r="BG18" s="4">
        <f t="shared" si="27"/>
        <v>6.3186097397139322</v>
      </c>
      <c r="BH18">
        <v>27.036970140000001</v>
      </c>
      <c r="BI18" s="4">
        <f t="shared" si="28"/>
        <v>6.8689409337648657</v>
      </c>
      <c r="BJ18">
        <v>25.913505560000001</v>
      </c>
      <c r="BK18" s="4">
        <f t="shared" si="29"/>
        <v>6.5835165019133104</v>
      </c>
      <c r="BL18">
        <v>29.269152171999998</v>
      </c>
      <c r="BM18" s="4">
        <f t="shared" si="30"/>
        <v>7.4360431812365642</v>
      </c>
      <c r="BN18">
        <v>30.911944866999999</v>
      </c>
      <c r="BO18" s="4">
        <f t="shared" si="31"/>
        <v>7.8534067367660674</v>
      </c>
      <c r="BP18">
        <v>34.185473442999999</v>
      </c>
      <c r="BQ18" s="4">
        <f t="shared" si="32"/>
        <v>8.6850707256339934</v>
      </c>
      <c r="BR18">
        <v>33.497527122000001</v>
      </c>
      <c r="BS18" s="4">
        <f t="shared" si="33"/>
        <v>8.5102929077024374</v>
      </c>
      <c r="BT18">
        <v>26.361825941999999</v>
      </c>
      <c r="BU18" s="4">
        <f t="shared" si="34"/>
        <v>6.697415589252425</v>
      </c>
      <c r="BV18">
        <v>24.927991859999999</v>
      </c>
      <c r="BW18" s="4">
        <f t="shared" si="35"/>
        <v>6.3331395047992372</v>
      </c>
      <c r="BX18">
        <v>23.286243435999999</v>
      </c>
      <c r="BY18" s="4">
        <f t="shared" si="36"/>
        <v>5.9160412539906666</v>
      </c>
      <c r="BZ18">
        <v>27.310312272000001</v>
      </c>
      <c r="CA18" s="4">
        <f t="shared" si="37"/>
        <v>6.9383855109380885</v>
      </c>
      <c r="CB18">
        <v>32.761842727999998</v>
      </c>
      <c r="CC18" s="4">
        <f t="shared" si="38"/>
        <v>8.323386881542266</v>
      </c>
      <c r="CD18">
        <v>41.983862877000007</v>
      </c>
      <c r="CE18" s="4">
        <f t="shared" si="39"/>
        <v>10.666308864496031</v>
      </c>
    </row>
    <row r="19" spans="1:83" x14ac:dyDescent="0.2">
      <c r="A19" s="2">
        <v>42021</v>
      </c>
      <c r="B19">
        <v>2016</v>
      </c>
      <c r="C19">
        <v>5</v>
      </c>
      <c r="D19">
        <v>216.928789118</v>
      </c>
      <c r="E19" s="4">
        <f t="shared" si="0"/>
        <v>105.12659412697759</v>
      </c>
      <c r="F19">
        <v>197.90708350700001</v>
      </c>
      <c r="G19" s="4">
        <f t="shared" si="1"/>
        <v>95.90842104123422</v>
      </c>
      <c r="H19">
        <v>236.10732268000001</v>
      </c>
      <c r="I19" s="4">
        <f t="shared" si="2"/>
        <v>114.42076813643229</v>
      </c>
      <c r="J19">
        <v>214.72922038199999</v>
      </c>
      <c r="K19" s="4">
        <f t="shared" si="3"/>
        <v>104.06065368309267</v>
      </c>
      <c r="L19">
        <v>227.19723082100001</v>
      </c>
      <c r="M19" s="4">
        <f t="shared" si="4"/>
        <v>110.10281838756026</v>
      </c>
      <c r="N19">
        <v>209.54478212800001</v>
      </c>
      <c r="O19" s="4">
        <f t="shared" si="5"/>
        <v>101.54820552754535</v>
      </c>
      <c r="P19">
        <v>205.90532683500001</v>
      </c>
      <c r="Q19" s="4">
        <f t="shared" si="6"/>
        <v>99.784476789713452</v>
      </c>
      <c r="R19">
        <v>200.13391207399999</v>
      </c>
      <c r="S19" s="4">
        <f t="shared" si="7"/>
        <v>96.987571964010201</v>
      </c>
      <c r="T19">
        <v>199.446533676</v>
      </c>
      <c r="U19" s="4">
        <f t="shared" si="8"/>
        <v>96.654459193907158</v>
      </c>
      <c r="V19">
        <v>195.98213814100001</v>
      </c>
      <c r="W19" s="4">
        <f t="shared" si="9"/>
        <v>94.975566757435075</v>
      </c>
      <c r="X19">
        <v>188.92801475799999</v>
      </c>
      <c r="Y19" s="4">
        <f t="shared" si="10"/>
        <v>91.557044168426017</v>
      </c>
      <c r="Z19">
        <v>186.269193151</v>
      </c>
      <c r="AA19" s="4">
        <f t="shared" si="11"/>
        <v>90.268543637576315</v>
      </c>
      <c r="AB19">
        <v>176.42469262700001</v>
      </c>
      <c r="AC19" s="4">
        <f t="shared" si="12"/>
        <v>85.497766945477537</v>
      </c>
      <c r="AD19">
        <v>184.63803148700001</v>
      </c>
      <c r="AE19" s="4">
        <f t="shared" si="13"/>
        <v>89.478060867151882</v>
      </c>
      <c r="AF19">
        <v>188.708181397</v>
      </c>
      <c r="AG19" s="4">
        <f t="shared" si="14"/>
        <v>91.450509979896324</v>
      </c>
      <c r="AH19">
        <v>180.955904954</v>
      </c>
      <c r="AI19" s="4">
        <f t="shared" si="15"/>
        <v>87.693653075393527</v>
      </c>
      <c r="AJ19">
        <v>190.43699120900001</v>
      </c>
      <c r="AK19" s="4">
        <f t="shared" si="16"/>
        <v>92.288314349559769</v>
      </c>
      <c r="AL19">
        <v>198.948194976</v>
      </c>
      <c r="AM19" s="4">
        <f t="shared" si="17"/>
        <v>96.412957591166133</v>
      </c>
      <c r="AN19">
        <v>206.36783790300001</v>
      </c>
      <c r="AO19" s="4">
        <f t="shared" si="18"/>
        <v>100.00861584254531</v>
      </c>
      <c r="AP19">
        <v>187.85264395900001</v>
      </c>
      <c r="AQ19" s="4">
        <f t="shared" si="19"/>
        <v>91.035905088721009</v>
      </c>
      <c r="AR19">
        <v>201.31800317299999</v>
      </c>
      <c r="AS19" s="4">
        <f t="shared" si="20"/>
        <v>97.561398355979918</v>
      </c>
      <c r="AT19">
        <v>235.74939797499999</v>
      </c>
      <c r="AU19" s="4">
        <f t="shared" si="21"/>
        <v>114.24731303467497</v>
      </c>
      <c r="AV19">
        <v>198.36379432300001</v>
      </c>
      <c r="AW19" s="4">
        <f t="shared" si="22"/>
        <v>96.129749214328456</v>
      </c>
      <c r="AX19">
        <v>220.59953499900001</v>
      </c>
      <c r="AY19" s="4">
        <f t="shared" si="23"/>
        <v>106.90548670248197</v>
      </c>
      <c r="AZ19">
        <v>232.526724333</v>
      </c>
      <c r="BA19" s="4">
        <f t="shared" si="24"/>
        <v>112.68556226225004</v>
      </c>
      <c r="BB19">
        <v>215.63265704099999</v>
      </c>
      <c r="BC19" s="4">
        <f t="shared" si="25"/>
        <v>104.49847117774739</v>
      </c>
      <c r="BD19">
        <v>221.102427944</v>
      </c>
      <c r="BE19" s="4">
        <f t="shared" si="26"/>
        <v>107.14919535329446</v>
      </c>
      <c r="BF19">
        <v>223.145673746</v>
      </c>
      <c r="BG19" s="4">
        <f t="shared" si="27"/>
        <v>108.13937961146436</v>
      </c>
      <c r="BH19">
        <v>225.35150718400001</v>
      </c>
      <c r="BI19" s="4">
        <f t="shared" si="28"/>
        <v>109.20835601377215</v>
      </c>
      <c r="BJ19">
        <v>225.15907478400001</v>
      </c>
      <c r="BK19" s="4">
        <f t="shared" si="29"/>
        <v>109.11510069762011</v>
      </c>
      <c r="BL19">
        <v>230.21991491899999</v>
      </c>
      <c r="BM19" s="4">
        <f t="shared" si="30"/>
        <v>111.56765155072176</v>
      </c>
      <c r="BN19">
        <v>228.62720204499999</v>
      </c>
      <c r="BO19" s="4">
        <f t="shared" si="31"/>
        <v>110.79580157844939</v>
      </c>
      <c r="BP19">
        <v>226.20728444599999</v>
      </c>
      <c r="BQ19" s="4">
        <f t="shared" si="32"/>
        <v>109.62307712686716</v>
      </c>
      <c r="BR19">
        <v>227.95269825700001</v>
      </c>
      <c r="BS19" s="4">
        <f t="shared" si="33"/>
        <v>110.46892801663914</v>
      </c>
      <c r="BT19">
        <v>208.135544286</v>
      </c>
      <c r="BU19" s="4">
        <f t="shared" si="34"/>
        <v>100.86527001102556</v>
      </c>
      <c r="BV19">
        <v>205.95207785900001</v>
      </c>
      <c r="BW19" s="4">
        <f t="shared" si="35"/>
        <v>99.807132961561607</v>
      </c>
      <c r="BX19">
        <v>202.651428702</v>
      </c>
      <c r="BY19" s="4">
        <f t="shared" si="36"/>
        <v>98.207594211106752</v>
      </c>
      <c r="BZ19">
        <v>218.677254662</v>
      </c>
      <c r="CA19" s="4">
        <f t="shared" si="37"/>
        <v>105.97392392739938</v>
      </c>
      <c r="CB19">
        <v>246.51755713599999</v>
      </c>
      <c r="CC19" s="4">
        <f t="shared" si="38"/>
        <v>119.46570706257586</v>
      </c>
      <c r="CD19">
        <v>245.61602973000001</v>
      </c>
      <c r="CE19" s="4">
        <f t="shared" si="39"/>
        <v>119.02881481747438</v>
      </c>
    </row>
    <row r="20" spans="1:83" x14ac:dyDescent="0.2">
      <c r="A20" s="2">
        <v>42022</v>
      </c>
      <c r="B20">
        <v>2016</v>
      </c>
      <c r="C20">
        <v>6</v>
      </c>
      <c r="D20">
        <v>193.976481423</v>
      </c>
      <c r="E20" s="4">
        <f t="shared" si="0"/>
        <v>279.83156175402286</v>
      </c>
      <c r="F20">
        <v>168.65186096599999</v>
      </c>
      <c r="G20" s="4">
        <f t="shared" si="1"/>
        <v>243.29812202296316</v>
      </c>
      <c r="H20">
        <v>181.81976367799999</v>
      </c>
      <c r="I20" s="4">
        <f t="shared" si="2"/>
        <v>262.29421244533063</v>
      </c>
      <c r="J20">
        <v>201.96058318799999</v>
      </c>
      <c r="K20" s="4">
        <f t="shared" si="3"/>
        <v>291.34947181050501</v>
      </c>
      <c r="L20">
        <v>202.964123726</v>
      </c>
      <c r="M20" s="4">
        <f t="shared" si="4"/>
        <v>292.79718502796271</v>
      </c>
      <c r="N20">
        <v>208.270397159</v>
      </c>
      <c r="O20" s="4">
        <f t="shared" si="5"/>
        <v>300.45204489013469</v>
      </c>
      <c r="P20">
        <v>141.55339050800001</v>
      </c>
      <c r="Q20" s="4">
        <f t="shared" si="6"/>
        <v>204.20571631594706</v>
      </c>
      <c r="R20">
        <v>189.25161789000001</v>
      </c>
      <c r="S20" s="4">
        <f t="shared" si="7"/>
        <v>273.015447079632</v>
      </c>
      <c r="T20">
        <v>172.81791069400001</v>
      </c>
      <c r="U20" s="4">
        <f t="shared" si="8"/>
        <v>249.3080887631524</v>
      </c>
      <c r="V20">
        <v>151.96473097800001</v>
      </c>
      <c r="W20" s="4">
        <f t="shared" si="9"/>
        <v>219.22517456315452</v>
      </c>
      <c r="X20">
        <v>198.007276537</v>
      </c>
      <c r="Y20" s="4">
        <f t="shared" si="10"/>
        <v>285.64640942826964</v>
      </c>
      <c r="Z20">
        <v>174.55513978799999</v>
      </c>
      <c r="AA20" s="4">
        <f t="shared" si="11"/>
        <v>251.81422521295451</v>
      </c>
      <c r="AB20">
        <v>163.28712652999999</v>
      </c>
      <c r="AC20" s="4">
        <f t="shared" si="12"/>
        <v>235.55892598946164</v>
      </c>
      <c r="AD20">
        <v>179.79380273199999</v>
      </c>
      <c r="AE20" s="4">
        <f t="shared" si="13"/>
        <v>259.37154980389653</v>
      </c>
      <c r="AF20">
        <v>158.496412768</v>
      </c>
      <c r="AG20" s="4">
        <f t="shared" si="14"/>
        <v>228.64781540480499</v>
      </c>
      <c r="AH20">
        <v>158.41705919399999</v>
      </c>
      <c r="AI20" s="4">
        <f t="shared" si="15"/>
        <v>228.53333949318784</v>
      </c>
      <c r="AJ20">
        <v>158.768379925</v>
      </c>
      <c r="AK20" s="4">
        <f t="shared" si="16"/>
        <v>229.04015675325513</v>
      </c>
      <c r="AL20">
        <v>150.480021478</v>
      </c>
      <c r="AM20" s="4">
        <f t="shared" si="17"/>
        <v>217.08332429817301</v>
      </c>
      <c r="AN20">
        <v>152.30822967899999</v>
      </c>
      <c r="AO20" s="4">
        <f t="shared" si="18"/>
        <v>219.72070771880391</v>
      </c>
      <c r="AP20">
        <v>168.91469597700001</v>
      </c>
      <c r="AQ20" s="4">
        <f t="shared" si="19"/>
        <v>243.67728928629435</v>
      </c>
      <c r="AR20">
        <v>153.36117435099999</v>
      </c>
      <c r="AS20" s="4">
        <f t="shared" si="20"/>
        <v>221.23969161749525</v>
      </c>
      <c r="AT20">
        <v>170.12116955799999</v>
      </c>
      <c r="AU20" s="4">
        <f t="shared" si="21"/>
        <v>245.41775485155006</v>
      </c>
      <c r="AV20">
        <v>157.825119497</v>
      </c>
      <c r="AW20" s="4">
        <f t="shared" si="22"/>
        <v>227.67940396110393</v>
      </c>
      <c r="AX20">
        <v>150.39019155599999</v>
      </c>
      <c r="AY20" s="4">
        <f t="shared" si="23"/>
        <v>216.95373514808068</v>
      </c>
      <c r="AZ20">
        <v>158.78099489600001</v>
      </c>
      <c r="BA20" s="4">
        <f t="shared" si="24"/>
        <v>229.0583551812837</v>
      </c>
      <c r="BB20">
        <v>155.729073038</v>
      </c>
      <c r="BC20" s="4">
        <f t="shared" si="25"/>
        <v>224.65563556491415</v>
      </c>
      <c r="BD20">
        <v>157.50351667499999</v>
      </c>
      <c r="BE20" s="4">
        <f t="shared" si="26"/>
        <v>227.21545792349892</v>
      </c>
      <c r="BF20">
        <v>172.027564052</v>
      </c>
      <c r="BG20" s="4">
        <f t="shared" si="27"/>
        <v>248.16793025767038</v>
      </c>
      <c r="BH20">
        <v>168.68690537399999</v>
      </c>
      <c r="BI20" s="4">
        <f t="shared" si="28"/>
        <v>243.34867728280418</v>
      </c>
      <c r="BJ20">
        <v>160.424113758</v>
      </c>
      <c r="BK20" s="4">
        <f t="shared" si="29"/>
        <v>231.42872768174308</v>
      </c>
      <c r="BL20">
        <v>171.73306368799999</v>
      </c>
      <c r="BM20" s="4">
        <f t="shared" si="30"/>
        <v>247.74308237822288</v>
      </c>
      <c r="BN20">
        <v>172.96074986799999</v>
      </c>
      <c r="BO20" s="4">
        <f t="shared" si="31"/>
        <v>249.51414935795671</v>
      </c>
      <c r="BP20">
        <v>167.11702227999999</v>
      </c>
      <c r="BQ20" s="4">
        <f t="shared" si="32"/>
        <v>241.08395511265985</v>
      </c>
      <c r="BR20">
        <v>174.798588271</v>
      </c>
      <c r="BS20" s="4">
        <f t="shared" si="33"/>
        <v>252.16542536209002</v>
      </c>
      <c r="BT20">
        <v>148.94696737199999</v>
      </c>
      <c r="BU20" s="4">
        <f t="shared" si="34"/>
        <v>214.87173183300246</v>
      </c>
      <c r="BV20">
        <v>152.89901541899999</v>
      </c>
      <c r="BW20" s="4">
        <f t="shared" si="35"/>
        <v>220.57297854603732</v>
      </c>
      <c r="BX20">
        <v>157.325226074</v>
      </c>
      <c r="BY20" s="4">
        <f t="shared" si="36"/>
        <v>226.95825490095777</v>
      </c>
      <c r="BZ20">
        <v>162.55972767</v>
      </c>
      <c r="CA20" s="4">
        <f t="shared" si="37"/>
        <v>234.50957630789884</v>
      </c>
      <c r="CB20">
        <v>171.03065681999999</v>
      </c>
      <c r="CC20" s="4">
        <f t="shared" si="38"/>
        <v>246.72978628471054</v>
      </c>
      <c r="CD20">
        <v>159.39966536099999</v>
      </c>
      <c r="CE20" s="4">
        <f t="shared" si="39"/>
        <v>229.95085266944312</v>
      </c>
    </row>
    <row r="21" spans="1:83" x14ac:dyDescent="0.2">
      <c r="A21" s="2">
        <v>42023</v>
      </c>
      <c r="B21">
        <v>2016</v>
      </c>
      <c r="C21">
        <v>7</v>
      </c>
      <c r="D21">
        <v>264.68683838999999</v>
      </c>
      <c r="E21" s="4">
        <f t="shared" si="0"/>
        <v>215.61061840780414</v>
      </c>
      <c r="F21">
        <v>274.09455109700002</v>
      </c>
      <c r="G21" s="4">
        <f t="shared" si="1"/>
        <v>223.27402459338296</v>
      </c>
      <c r="H21">
        <v>264.15356015399999</v>
      </c>
      <c r="I21" s="4">
        <f t="shared" si="2"/>
        <v>215.17621656543534</v>
      </c>
      <c r="J21">
        <v>294.694352622</v>
      </c>
      <c r="K21" s="4">
        <f t="shared" si="3"/>
        <v>240.0543676315923</v>
      </c>
      <c r="L21">
        <v>281.66833543500002</v>
      </c>
      <c r="M21" s="4">
        <f t="shared" si="4"/>
        <v>229.44353545662207</v>
      </c>
      <c r="N21">
        <v>272.436175343</v>
      </c>
      <c r="O21" s="4">
        <f t="shared" si="5"/>
        <v>221.92313225567781</v>
      </c>
      <c r="P21">
        <v>262.55066109900002</v>
      </c>
      <c r="Q21" s="4">
        <f t="shared" si="6"/>
        <v>213.87051485923791</v>
      </c>
      <c r="R21">
        <v>283.295702457</v>
      </c>
      <c r="S21" s="4">
        <f t="shared" si="7"/>
        <v>230.76916846551725</v>
      </c>
      <c r="T21">
        <v>257.15896605400002</v>
      </c>
      <c r="U21" s="4">
        <f t="shared" si="8"/>
        <v>209.47850689242748</v>
      </c>
      <c r="V21">
        <v>245.030754078</v>
      </c>
      <c r="W21" s="4">
        <f t="shared" si="9"/>
        <v>199.59901571624252</v>
      </c>
      <c r="X21">
        <v>265.78073262300001</v>
      </c>
      <c r="Y21" s="4">
        <f t="shared" si="10"/>
        <v>216.50169109386775</v>
      </c>
      <c r="Z21">
        <v>228.87198447200001</v>
      </c>
      <c r="AA21" s="4">
        <f t="shared" si="11"/>
        <v>186.43628224354367</v>
      </c>
      <c r="AB21">
        <v>209.09888171599999</v>
      </c>
      <c r="AC21" s="4">
        <f t="shared" si="12"/>
        <v>170.32935777765647</v>
      </c>
      <c r="AD21">
        <v>268.68128203700002</v>
      </c>
      <c r="AE21" s="4">
        <f t="shared" si="13"/>
        <v>218.86444270131059</v>
      </c>
      <c r="AF21">
        <v>224.864579198</v>
      </c>
      <c r="AG21" s="4">
        <f t="shared" si="14"/>
        <v>183.17189956931063</v>
      </c>
      <c r="AH21">
        <v>218.50948095300001</v>
      </c>
      <c r="AI21" s="4">
        <f t="shared" si="15"/>
        <v>177.99511529480185</v>
      </c>
      <c r="AJ21">
        <v>266.12854957500002</v>
      </c>
      <c r="AK21" s="4">
        <f t="shared" si="16"/>
        <v>216.78501847262825</v>
      </c>
      <c r="AL21">
        <v>238.17702151200001</v>
      </c>
      <c r="AM21" s="4">
        <f t="shared" si="17"/>
        <v>194.01605010319753</v>
      </c>
      <c r="AN21">
        <v>236.48921490800001</v>
      </c>
      <c r="AO21" s="4">
        <f t="shared" si="18"/>
        <v>192.64118375980567</v>
      </c>
      <c r="AP21">
        <v>274.518660544</v>
      </c>
      <c r="AQ21" s="4">
        <f t="shared" si="19"/>
        <v>223.61949889311194</v>
      </c>
      <c r="AR21">
        <v>249.10959863599999</v>
      </c>
      <c r="AS21" s="4">
        <f t="shared" si="20"/>
        <v>202.9215919459071</v>
      </c>
      <c r="AT21">
        <v>289.58953429100001</v>
      </c>
      <c r="AU21" s="4">
        <f t="shared" si="21"/>
        <v>235.89604588087246</v>
      </c>
      <c r="AV21">
        <v>253.92222882300001</v>
      </c>
      <c r="AW21" s="4">
        <f t="shared" si="22"/>
        <v>206.84190085548053</v>
      </c>
      <c r="AX21">
        <v>258.716126433</v>
      </c>
      <c r="AY21" s="4">
        <f t="shared" si="23"/>
        <v>210.74695043997414</v>
      </c>
      <c r="AZ21">
        <v>284.52157403400003</v>
      </c>
      <c r="BA21" s="4">
        <f t="shared" si="24"/>
        <v>231.76774826046753</v>
      </c>
      <c r="BB21">
        <v>307.50018261299999</v>
      </c>
      <c r="BC21" s="4">
        <f t="shared" si="25"/>
        <v>250.4858380453816</v>
      </c>
      <c r="BD21">
        <v>305.68868921400002</v>
      </c>
      <c r="BE21" s="4">
        <f t="shared" si="26"/>
        <v>249.01021797157745</v>
      </c>
      <c r="BF21">
        <v>338.42918109800002</v>
      </c>
      <c r="BG21" s="4">
        <f t="shared" si="27"/>
        <v>275.68021692212454</v>
      </c>
      <c r="BH21">
        <v>333.82196333299999</v>
      </c>
      <c r="BI21" s="4">
        <f t="shared" si="28"/>
        <v>271.92723442592876</v>
      </c>
      <c r="BJ21">
        <v>302.19911765299997</v>
      </c>
      <c r="BK21" s="4">
        <f t="shared" si="29"/>
        <v>246.16765622267434</v>
      </c>
      <c r="BL21">
        <v>348.202391127</v>
      </c>
      <c r="BM21" s="4">
        <f t="shared" si="30"/>
        <v>283.64135269676098</v>
      </c>
      <c r="BN21">
        <v>384.50706529000001</v>
      </c>
      <c r="BO21" s="4">
        <f t="shared" si="31"/>
        <v>313.21469036247692</v>
      </c>
      <c r="BP21">
        <v>360.26899672299999</v>
      </c>
      <c r="BQ21" s="4">
        <f t="shared" si="32"/>
        <v>293.47066007925798</v>
      </c>
      <c r="BR21">
        <v>329.35403108000003</v>
      </c>
      <c r="BS21" s="4">
        <f t="shared" si="33"/>
        <v>268.28771218170561</v>
      </c>
      <c r="BT21">
        <v>263.14202975500001</v>
      </c>
      <c r="BU21" s="4">
        <f t="shared" si="34"/>
        <v>214.35223643785028</v>
      </c>
      <c r="BV21">
        <v>272.25069903100001</v>
      </c>
      <c r="BW21" s="4">
        <f t="shared" si="35"/>
        <v>221.77204555044696</v>
      </c>
      <c r="BX21">
        <v>252.13972138099999</v>
      </c>
      <c r="BY21" s="4">
        <f t="shared" si="36"/>
        <v>205.38989238303864</v>
      </c>
      <c r="BZ21">
        <v>285.49696397100001</v>
      </c>
      <c r="CA21" s="4">
        <f t="shared" si="37"/>
        <v>232.56228881557985</v>
      </c>
      <c r="CB21">
        <v>314.46756172200003</v>
      </c>
      <c r="CC21" s="4">
        <f t="shared" si="38"/>
        <v>256.161378723984</v>
      </c>
      <c r="CD21">
        <v>328.51934862399997</v>
      </c>
      <c r="CE21" s="4">
        <f t="shared" si="39"/>
        <v>267.60779019689147</v>
      </c>
    </row>
    <row r="22" spans="1:83" x14ac:dyDescent="0.2">
      <c r="A22" s="2">
        <v>42024</v>
      </c>
      <c r="B22">
        <v>2016</v>
      </c>
      <c r="C22">
        <v>8</v>
      </c>
      <c r="D22">
        <v>390.84385251200001</v>
      </c>
      <c r="E22" s="4">
        <f t="shared" si="0"/>
        <v>351.03833033853812</v>
      </c>
      <c r="F22">
        <v>409.898313067</v>
      </c>
      <c r="G22" s="4">
        <f t="shared" si="1"/>
        <v>368.15218789505008</v>
      </c>
      <c r="H22">
        <v>364.14525890700003</v>
      </c>
      <c r="I22" s="4">
        <f t="shared" si="2"/>
        <v>327.05885704952533</v>
      </c>
      <c r="J22">
        <v>392.16714814400001</v>
      </c>
      <c r="K22" s="4">
        <f t="shared" si="3"/>
        <v>352.22685482527623</v>
      </c>
      <c r="L22">
        <v>367.42636058699998</v>
      </c>
      <c r="M22" s="4">
        <f t="shared" si="4"/>
        <v>330.00579467695746</v>
      </c>
      <c r="N22">
        <v>369.578019122</v>
      </c>
      <c r="O22" s="4">
        <f t="shared" si="5"/>
        <v>331.93831738322643</v>
      </c>
      <c r="P22">
        <v>391.907017688</v>
      </c>
      <c r="Q22" s="4">
        <f t="shared" si="6"/>
        <v>351.99321737554391</v>
      </c>
      <c r="R22">
        <v>393.156249522</v>
      </c>
      <c r="S22" s="4">
        <f t="shared" si="7"/>
        <v>353.11522109747693</v>
      </c>
      <c r="T22">
        <v>384.62468239700002</v>
      </c>
      <c r="U22" s="4">
        <f t="shared" si="8"/>
        <v>345.45255208149388</v>
      </c>
      <c r="V22">
        <v>416.883055216</v>
      </c>
      <c r="W22" s="4">
        <f t="shared" si="9"/>
        <v>374.42556844350042</v>
      </c>
      <c r="X22">
        <v>391.23828221999997</v>
      </c>
      <c r="Y22" s="4">
        <f t="shared" si="10"/>
        <v>351.39258932263709</v>
      </c>
      <c r="Z22">
        <v>377.01492452600002</v>
      </c>
      <c r="AA22" s="4">
        <f t="shared" si="11"/>
        <v>338.61781058524798</v>
      </c>
      <c r="AB22">
        <v>393.15702342100002</v>
      </c>
      <c r="AC22" s="4">
        <f t="shared" si="12"/>
        <v>353.1159161786739</v>
      </c>
      <c r="AD22">
        <v>410.07816935</v>
      </c>
      <c r="AE22" s="4">
        <f t="shared" si="13"/>
        <v>368.31372670109607</v>
      </c>
      <c r="AF22">
        <v>369.95928952399998</v>
      </c>
      <c r="AG22" s="4">
        <f t="shared" si="14"/>
        <v>332.28075727185552</v>
      </c>
      <c r="AH22">
        <v>386.83619548000001</v>
      </c>
      <c r="AI22" s="4">
        <f t="shared" si="15"/>
        <v>347.43883344472533</v>
      </c>
      <c r="AJ22">
        <v>425.13485289300002</v>
      </c>
      <c r="AK22" s="4">
        <f t="shared" si="16"/>
        <v>381.83696115239962</v>
      </c>
      <c r="AL22">
        <v>392.81701848099999</v>
      </c>
      <c r="AM22" s="4">
        <f t="shared" si="17"/>
        <v>352.81053906789845</v>
      </c>
      <c r="AN22">
        <v>407.99749709600002</v>
      </c>
      <c r="AO22" s="4">
        <f t="shared" si="18"/>
        <v>366.4449606725874</v>
      </c>
      <c r="AP22">
        <v>403.04997873799999</v>
      </c>
      <c r="AQ22" s="4">
        <f t="shared" si="19"/>
        <v>362.00132270169655</v>
      </c>
      <c r="AR22">
        <v>405.27530955700001</v>
      </c>
      <c r="AS22" s="4">
        <f t="shared" si="20"/>
        <v>364.00001453254396</v>
      </c>
      <c r="AT22">
        <v>494.71469211800002</v>
      </c>
      <c r="AU22" s="4">
        <f t="shared" si="21"/>
        <v>444.33043630823056</v>
      </c>
      <c r="AV22">
        <v>437.57437516599998</v>
      </c>
      <c r="AW22" s="4">
        <f t="shared" si="22"/>
        <v>393.00957932422796</v>
      </c>
      <c r="AX22">
        <v>438.52054263000002</v>
      </c>
      <c r="AY22" s="4">
        <f t="shared" si="23"/>
        <v>393.85938429019711</v>
      </c>
      <c r="AZ22">
        <v>503.37251899099999</v>
      </c>
      <c r="BA22" s="4">
        <f t="shared" si="24"/>
        <v>452.10650613848259</v>
      </c>
      <c r="BB22">
        <v>478.55405044000003</v>
      </c>
      <c r="BC22" s="4">
        <f t="shared" si="25"/>
        <v>429.81567642296324</v>
      </c>
      <c r="BD22">
        <v>485.20513055100002</v>
      </c>
      <c r="BE22" s="4">
        <f t="shared" si="26"/>
        <v>435.78937676929684</v>
      </c>
      <c r="BF22">
        <v>546.674903879</v>
      </c>
      <c r="BG22" s="4">
        <f t="shared" si="27"/>
        <v>490.99875631221033</v>
      </c>
      <c r="BH22">
        <v>549.980404873</v>
      </c>
      <c r="BI22" s="4">
        <f t="shared" si="28"/>
        <v>493.96760830363451</v>
      </c>
      <c r="BJ22">
        <v>520.39549684500003</v>
      </c>
      <c r="BK22" s="4">
        <f t="shared" si="29"/>
        <v>467.39577750568316</v>
      </c>
      <c r="BL22">
        <v>560.18308353300006</v>
      </c>
      <c r="BM22" s="4">
        <f t="shared" si="30"/>
        <v>503.13119437200459</v>
      </c>
      <c r="BN22">
        <v>562.13987015700002</v>
      </c>
      <c r="BO22" s="4">
        <f t="shared" si="31"/>
        <v>504.88869191201422</v>
      </c>
      <c r="BP22">
        <v>553.33943080500001</v>
      </c>
      <c r="BQ22" s="4">
        <f t="shared" si="32"/>
        <v>496.9845339816377</v>
      </c>
      <c r="BR22">
        <v>553.37222098000007</v>
      </c>
      <c r="BS22" s="4">
        <f t="shared" si="33"/>
        <v>497.01398463874676</v>
      </c>
      <c r="BT22">
        <v>421.06300831300001</v>
      </c>
      <c r="BU22" s="4">
        <f t="shared" si="34"/>
        <v>378.17981389634207</v>
      </c>
      <c r="BV22">
        <v>443.74973773300002</v>
      </c>
      <c r="BW22" s="4">
        <f t="shared" si="35"/>
        <v>398.55601161636241</v>
      </c>
      <c r="BX22">
        <v>455.44024277699998</v>
      </c>
      <c r="BY22" s="4">
        <f t="shared" si="36"/>
        <v>409.05589627639813</v>
      </c>
      <c r="BZ22">
        <v>503.05348778500002</v>
      </c>
      <c r="CA22" s="4">
        <f t="shared" si="37"/>
        <v>451.81996669015729</v>
      </c>
      <c r="CB22">
        <v>528.31270980600004</v>
      </c>
      <c r="CC22" s="4">
        <f t="shared" si="38"/>
        <v>474.50666130467738</v>
      </c>
      <c r="CD22">
        <v>545.15816785599998</v>
      </c>
      <c r="CE22" s="4">
        <f t="shared" si="39"/>
        <v>489.63649238594866</v>
      </c>
    </row>
    <row r="23" spans="1:83" x14ac:dyDescent="0.2">
      <c r="A23" s="2">
        <v>42025</v>
      </c>
      <c r="B23">
        <v>2016</v>
      </c>
      <c r="C23">
        <v>9</v>
      </c>
      <c r="D23">
        <v>302.99777795300002</v>
      </c>
      <c r="E23" s="4">
        <f t="shared" si="0"/>
        <v>284.93112732112689</v>
      </c>
      <c r="F23">
        <v>325.82709932900002</v>
      </c>
      <c r="G23" s="4">
        <f t="shared" si="1"/>
        <v>306.39921966023633</v>
      </c>
      <c r="H23">
        <v>293.779842374</v>
      </c>
      <c r="I23" s="4">
        <f t="shared" si="2"/>
        <v>276.26282356707952</v>
      </c>
      <c r="J23">
        <v>277.73859311799998</v>
      </c>
      <c r="K23" s="4">
        <f t="shared" si="3"/>
        <v>261.17805540465338</v>
      </c>
      <c r="L23">
        <v>256.376799119</v>
      </c>
      <c r="M23" s="4">
        <f t="shared" si="4"/>
        <v>241.08998714601128</v>
      </c>
      <c r="N23">
        <v>293.11609315599998</v>
      </c>
      <c r="O23" s="4">
        <f t="shared" si="5"/>
        <v>275.63865129023662</v>
      </c>
      <c r="P23">
        <v>267.31075238800003</v>
      </c>
      <c r="Q23" s="4">
        <f t="shared" si="6"/>
        <v>251.37198872391048</v>
      </c>
      <c r="R23">
        <v>287.140992654</v>
      </c>
      <c r="S23" s="4">
        <f t="shared" si="7"/>
        <v>270.01982420380176</v>
      </c>
      <c r="T23">
        <v>290.42087173099998</v>
      </c>
      <c r="U23" s="4">
        <f t="shared" si="8"/>
        <v>273.10413607301797</v>
      </c>
      <c r="V23">
        <v>294.580054287</v>
      </c>
      <c r="W23" s="4">
        <f t="shared" si="9"/>
        <v>277.01532176692524</v>
      </c>
      <c r="X23">
        <v>288.82740829599999</v>
      </c>
      <c r="Y23" s="4">
        <f t="shared" si="10"/>
        <v>271.60568504163791</v>
      </c>
      <c r="Z23">
        <v>277.74970245100002</v>
      </c>
      <c r="AA23" s="4">
        <f t="shared" si="11"/>
        <v>261.18850232870966</v>
      </c>
      <c r="AB23">
        <v>277.432603384</v>
      </c>
      <c r="AC23" s="4">
        <f t="shared" si="12"/>
        <v>260.89031072069457</v>
      </c>
      <c r="AD23">
        <v>316.27559663800002</v>
      </c>
      <c r="AE23" s="4">
        <f t="shared" si="13"/>
        <v>297.4172381825386</v>
      </c>
      <c r="AF23">
        <v>297.26111223999999</v>
      </c>
      <c r="AG23" s="4">
        <f t="shared" si="14"/>
        <v>279.53651802823924</v>
      </c>
      <c r="AH23">
        <v>294.40335274900002</v>
      </c>
      <c r="AI23" s="4">
        <f t="shared" si="15"/>
        <v>276.84915629613579</v>
      </c>
      <c r="AJ23">
        <v>342.34398985500002</v>
      </c>
      <c r="AK23" s="4">
        <f t="shared" si="16"/>
        <v>321.93126834127588</v>
      </c>
      <c r="AL23">
        <v>318.76233768100002</v>
      </c>
      <c r="AM23" s="4">
        <f t="shared" si="17"/>
        <v>299.75570394134564</v>
      </c>
      <c r="AN23">
        <v>312.93769361</v>
      </c>
      <c r="AO23" s="4">
        <f t="shared" si="18"/>
        <v>294.27836211855578</v>
      </c>
      <c r="AP23">
        <v>355.19783782799999</v>
      </c>
      <c r="AQ23" s="4">
        <f t="shared" si="19"/>
        <v>334.01868831545596</v>
      </c>
      <c r="AR23">
        <v>335.43217852499998</v>
      </c>
      <c r="AS23" s="4">
        <f t="shared" si="20"/>
        <v>315.43158307165874</v>
      </c>
      <c r="AT23">
        <v>324.18976828799998</v>
      </c>
      <c r="AU23" s="4">
        <f t="shared" si="21"/>
        <v>304.85951668795121</v>
      </c>
      <c r="AV23">
        <v>312.089563881</v>
      </c>
      <c r="AW23" s="4">
        <f t="shared" si="22"/>
        <v>293.48080326703177</v>
      </c>
      <c r="AX23">
        <v>321.67087891199998</v>
      </c>
      <c r="AY23" s="4">
        <f t="shared" si="23"/>
        <v>302.49081948380132</v>
      </c>
      <c r="AZ23">
        <v>330.77542115699998</v>
      </c>
      <c r="BA23" s="4">
        <f t="shared" si="24"/>
        <v>311.05249113412304</v>
      </c>
      <c r="BB23">
        <v>305.46617602399999</v>
      </c>
      <c r="BC23" s="4">
        <f t="shared" si="25"/>
        <v>287.25234383234636</v>
      </c>
      <c r="BD23">
        <v>320.240640644</v>
      </c>
      <c r="BE23" s="4">
        <f t="shared" si="26"/>
        <v>301.14586109898352</v>
      </c>
      <c r="BF23">
        <v>324.29781054199998</v>
      </c>
      <c r="BG23" s="4">
        <f t="shared" si="27"/>
        <v>304.96111677702942</v>
      </c>
      <c r="BH23">
        <v>332.08763598399997</v>
      </c>
      <c r="BI23" s="4">
        <f t="shared" si="28"/>
        <v>312.28646338458162</v>
      </c>
      <c r="BJ23">
        <v>324.55729388600002</v>
      </c>
      <c r="BK23" s="4">
        <f t="shared" si="29"/>
        <v>305.20512807713362</v>
      </c>
      <c r="BL23">
        <v>329.33339215500001</v>
      </c>
      <c r="BM23" s="4">
        <f t="shared" si="30"/>
        <v>309.6964450537015</v>
      </c>
      <c r="BN23">
        <v>340.212879198</v>
      </c>
      <c r="BO23" s="4">
        <f t="shared" si="31"/>
        <v>319.9272280276889</v>
      </c>
      <c r="BP23">
        <v>344.72246073399998</v>
      </c>
      <c r="BQ23" s="4">
        <f t="shared" si="32"/>
        <v>324.16791969044539</v>
      </c>
      <c r="BR23">
        <v>323.36650562800003</v>
      </c>
      <c r="BS23" s="4">
        <f t="shared" si="33"/>
        <v>304.08534217294351</v>
      </c>
      <c r="BT23">
        <v>296.48906803300002</v>
      </c>
      <c r="BU23" s="4">
        <f t="shared" si="34"/>
        <v>278.81050799698295</v>
      </c>
      <c r="BV23">
        <v>323.65702439</v>
      </c>
      <c r="BW23" s="4">
        <f t="shared" si="35"/>
        <v>304.35853836244632</v>
      </c>
      <c r="BX23">
        <v>303.99049663199997</v>
      </c>
      <c r="BY23" s="4">
        <f t="shared" si="36"/>
        <v>285.86465381175373</v>
      </c>
      <c r="BZ23">
        <v>320.60459709600002</v>
      </c>
      <c r="CA23" s="4">
        <f t="shared" si="37"/>
        <v>301.48811615730364</v>
      </c>
      <c r="CB23">
        <v>347.93190714899998</v>
      </c>
      <c r="CC23" s="4">
        <f t="shared" si="38"/>
        <v>327.18599854000229</v>
      </c>
      <c r="CD23">
        <v>347.25173091599999</v>
      </c>
      <c r="CE23" s="4">
        <f t="shared" si="39"/>
        <v>326.54637873105509</v>
      </c>
    </row>
    <row r="24" spans="1:83" x14ac:dyDescent="0.2">
      <c r="A24" s="2">
        <v>42026</v>
      </c>
      <c r="B24">
        <v>2016</v>
      </c>
      <c r="C24">
        <v>10</v>
      </c>
      <c r="D24">
        <v>363.76978251499997</v>
      </c>
      <c r="E24" s="4">
        <f t="shared" si="0"/>
        <v>246.77646102333452</v>
      </c>
      <c r="F24">
        <v>326.71255589100002</v>
      </c>
      <c r="G24" s="4">
        <f t="shared" si="1"/>
        <v>221.63734369922497</v>
      </c>
      <c r="H24">
        <v>359.31988190200002</v>
      </c>
      <c r="I24" s="4">
        <f t="shared" si="2"/>
        <v>243.75770911494473</v>
      </c>
      <c r="J24">
        <v>343.20804930000003</v>
      </c>
      <c r="K24" s="4">
        <f t="shared" si="3"/>
        <v>232.82766153751024</v>
      </c>
      <c r="L24">
        <v>368.603653409</v>
      </c>
      <c r="M24" s="4">
        <f t="shared" si="4"/>
        <v>250.05569313551754</v>
      </c>
      <c r="N24">
        <v>354.18648149299997</v>
      </c>
      <c r="O24" s="4">
        <f t="shared" si="5"/>
        <v>240.27528026340443</v>
      </c>
      <c r="P24">
        <v>313.05800056499999</v>
      </c>
      <c r="Q24" s="4">
        <f t="shared" si="6"/>
        <v>212.37427952467752</v>
      </c>
      <c r="R24">
        <v>329.99707368000003</v>
      </c>
      <c r="S24" s="4">
        <f t="shared" si="7"/>
        <v>223.8655157879943</v>
      </c>
      <c r="T24">
        <v>320.856658934</v>
      </c>
      <c r="U24" s="4">
        <f t="shared" si="8"/>
        <v>217.66478303963748</v>
      </c>
      <c r="V24">
        <v>311.48100899999997</v>
      </c>
      <c r="W24" s="4">
        <f t="shared" si="9"/>
        <v>211.30446994680719</v>
      </c>
      <c r="X24">
        <v>327.18735120700001</v>
      </c>
      <c r="Y24" s="4">
        <f t="shared" si="10"/>
        <v>221.95943836850415</v>
      </c>
      <c r="Z24">
        <v>302.10647153299999</v>
      </c>
      <c r="AA24" s="4">
        <f t="shared" si="11"/>
        <v>204.94491153642295</v>
      </c>
      <c r="AB24">
        <v>281.06222201999998</v>
      </c>
      <c r="AC24" s="4">
        <f t="shared" si="12"/>
        <v>190.66877957239421</v>
      </c>
      <c r="AD24">
        <v>337.36733818699997</v>
      </c>
      <c r="AE24" s="4">
        <f t="shared" si="13"/>
        <v>228.86540274745701</v>
      </c>
      <c r="AF24">
        <v>294.76401711</v>
      </c>
      <c r="AG24" s="4">
        <f t="shared" si="14"/>
        <v>199.9638905587986</v>
      </c>
      <c r="AH24">
        <v>284.263299469</v>
      </c>
      <c r="AI24" s="4">
        <f t="shared" si="15"/>
        <v>192.84034687208674</v>
      </c>
      <c r="AJ24">
        <v>305.43254851099999</v>
      </c>
      <c r="AK24" s="4">
        <f t="shared" si="16"/>
        <v>207.20127681241502</v>
      </c>
      <c r="AL24">
        <v>300.11195755199998</v>
      </c>
      <c r="AM24" s="4">
        <f t="shared" si="17"/>
        <v>203.59186044380658</v>
      </c>
      <c r="AN24">
        <v>290.14569425399998</v>
      </c>
      <c r="AO24" s="4">
        <f t="shared" si="18"/>
        <v>196.83088329693271</v>
      </c>
      <c r="AP24">
        <v>328.78699208500001</v>
      </c>
      <c r="AQ24" s="4">
        <f t="shared" si="19"/>
        <v>223.04461293152553</v>
      </c>
      <c r="AR24">
        <v>332.93953418400002</v>
      </c>
      <c r="AS24" s="4">
        <f t="shared" si="20"/>
        <v>225.86164087803832</v>
      </c>
      <c r="AT24">
        <v>327.28800726899999</v>
      </c>
      <c r="AU24" s="4">
        <f t="shared" si="21"/>
        <v>222.02772206867618</v>
      </c>
      <c r="AV24">
        <v>310.578644774</v>
      </c>
      <c r="AW24" s="4">
        <f t="shared" si="22"/>
        <v>210.69231835822066</v>
      </c>
      <c r="AX24">
        <v>298.84443139299998</v>
      </c>
      <c r="AY24" s="4">
        <f t="shared" si="23"/>
        <v>202.73198797828746</v>
      </c>
      <c r="AZ24">
        <v>310.11343907700001</v>
      </c>
      <c r="BA24" s="4">
        <f t="shared" si="24"/>
        <v>210.37672915573154</v>
      </c>
      <c r="BB24">
        <v>329.15678454699997</v>
      </c>
      <c r="BC24" s="4">
        <f t="shared" si="25"/>
        <v>223.29547509620161</v>
      </c>
      <c r="BD24">
        <v>344.71850490200001</v>
      </c>
      <c r="BE24" s="4">
        <f t="shared" si="26"/>
        <v>233.85233402519566</v>
      </c>
      <c r="BF24">
        <v>344.665354734</v>
      </c>
      <c r="BG24" s="4">
        <f t="shared" si="27"/>
        <v>233.81627767584428</v>
      </c>
      <c r="BH24">
        <v>347.50923059899998</v>
      </c>
      <c r="BI24" s="4">
        <f t="shared" si="28"/>
        <v>235.74552429083883</v>
      </c>
      <c r="BJ24">
        <v>337.09815024900001</v>
      </c>
      <c r="BK24" s="4">
        <f t="shared" si="29"/>
        <v>228.68278932027641</v>
      </c>
      <c r="BL24">
        <v>348.26609419699997</v>
      </c>
      <c r="BM24" s="4">
        <f t="shared" si="30"/>
        <v>236.25897023706477</v>
      </c>
      <c r="BN24">
        <v>372.89205931700002</v>
      </c>
      <c r="BO24" s="4">
        <f t="shared" si="31"/>
        <v>252.96488923776434</v>
      </c>
      <c r="BP24">
        <v>370.51833726000001</v>
      </c>
      <c r="BQ24" s="4">
        <f t="shared" si="32"/>
        <v>251.35458855630151</v>
      </c>
      <c r="BR24">
        <v>343.49463320500001</v>
      </c>
      <c r="BS24" s="4">
        <f t="shared" si="33"/>
        <v>233.02207615153671</v>
      </c>
      <c r="BT24">
        <v>322.99605895500002</v>
      </c>
      <c r="BU24" s="4">
        <f t="shared" si="34"/>
        <v>219.11612284649422</v>
      </c>
      <c r="BV24">
        <v>333.44016598100001</v>
      </c>
      <c r="BW24" s="4">
        <f t="shared" si="35"/>
        <v>226.2012626637877</v>
      </c>
      <c r="BX24">
        <v>301.65703487500002</v>
      </c>
      <c r="BY24" s="4">
        <f t="shared" si="36"/>
        <v>204.64001983500515</v>
      </c>
      <c r="BZ24">
        <v>328.89279653</v>
      </c>
      <c r="CA24" s="4">
        <f t="shared" si="37"/>
        <v>223.1163892245346</v>
      </c>
      <c r="CB24">
        <v>345.13176155000002</v>
      </c>
      <c r="CC24" s="4">
        <f t="shared" si="38"/>
        <v>234.13268170108762</v>
      </c>
      <c r="CD24">
        <v>352.67091654699999</v>
      </c>
      <c r="CE24" s="4">
        <f t="shared" si="39"/>
        <v>239.24714166640737</v>
      </c>
    </row>
    <row r="25" spans="1:83" x14ac:dyDescent="0.2">
      <c r="A25" s="2">
        <v>42027</v>
      </c>
      <c r="B25">
        <v>2016</v>
      </c>
      <c r="C25">
        <v>11</v>
      </c>
      <c r="D25">
        <v>150.40748596200001</v>
      </c>
      <c r="E25" s="4">
        <f t="shared" si="0"/>
        <v>214.61223454700743</v>
      </c>
      <c r="F25">
        <v>140.43692160000001</v>
      </c>
      <c r="G25" s="4">
        <f t="shared" si="1"/>
        <v>200.38551515377063</v>
      </c>
      <c r="H25">
        <v>167.37628031400001</v>
      </c>
      <c r="I25" s="4">
        <f t="shared" si="2"/>
        <v>238.82453255969696</v>
      </c>
      <c r="J25">
        <v>127.020633215</v>
      </c>
      <c r="K25" s="4">
        <f t="shared" si="3"/>
        <v>181.24218853531124</v>
      </c>
      <c r="L25">
        <v>199.732803332</v>
      </c>
      <c r="M25" s="4">
        <f t="shared" si="4"/>
        <v>284.99315018301837</v>
      </c>
      <c r="N25">
        <v>119.666899673</v>
      </c>
      <c r="O25" s="4">
        <f t="shared" si="5"/>
        <v>170.74935184159355</v>
      </c>
      <c r="P25">
        <v>102.815535536</v>
      </c>
      <c r="Q25" s="4">
        <f t="shared" si="6"/>
        <v>146.70461171794989</v>
      </c>
      <c r="R25">
        <v>110.51793576</v>
      </c>
      <c r="S25" s="4">
        <f t="shared" si="7"/>
        <v>157.69495114736927</v>
      </c>
      <c r="T25">
        <v>112.76649998800001</v>
      </c>
      <c r="U25" s="4">
        <f t="shared" si="8"/>
        <v>160.90336454785299</v>
      </c>
      <c r="V25">
        <v>105.95383787999999</v>
      </c>
      <c r="W25" s="4">
        <f t="shared" si="9"/>
        <v>151.18256754855338</v>
      </c>
      <c r="X25">
        <v>107.448383811</v>
      </c>
      <c r="Y25" s="4">
        <f t="shared" si="10"/>
        <v>153.31509333231713</v>
      </c>
      <c r="Z25">
        <v>115.080380922</v>
      </c>
      <c r="AA25" s="4">
        <f t="shared" si="11"/>
        <v>164.20497652910049</v>
      </c>
      <c r="AB25">
        <v>116.55589199000001</v>
      </c>
      <c r="AC25" s="4">
        <f t="shared" si="12"/>
        <v>166.31034199928945</v>
      </c>
      <c r="AD25">
        <v>111.99340533900001</v>
      </c>
      <c r="AE25" s="4">
        <f t="shared" si="13"/>
        <v>159.80025741806463</v>
      </c>
      <c r="AF25">
        <v>98.901068684999998</v>
      </c>
      <c r="AG25" s="4">
        <f t="shared" si="14"/>
        <v>141.11916846304737</v>
      </c>
      <c r="AH25">
        <v>77.685512063999994</v>
      </c>
      <c r="AI25" s="4">
        <f t="shared" si="15"/>
        <v>110.84728415842106</v>
      </c>
      <c r="AJ25">
        <v>123.229925174</v>
      </c>
      <c r="AK25" s="4">
        <f t="shared" si="16"/>
        <v>175.8333332646377</v>
      </c>
      <c r="AL25">
        <v>105.44834135000001</v>
      </c>
      <c r="AM25" s="4">
        <f t="shared" si="17"/>
        <v>150.46128868955785</v>
      </c>
      <c r="AN25">
        <v>75.082252026999996</v>
      </c>
      <c r="AO25" s="4">
        <f t="shared" si="18"/>
        <v>107.13276522956505</v>
      </c>
      <c r="AP25">
        <v>119.37199782899999</v>
      </c>
      <c r="AQ25" s="4">
        <f t="shared" si="19"/>
        <v>170.32856464933329</v>
      </c>
      <c r="AR25">
        <v>102.15919017900001</v>
      </c>
      <c r="AS25" s="4">
        <f t="shared" si="20"/>
        <v>145.76809088722536</v>
      </c>
      <c r="AT25">
        <v>72.667716025000004</v>
      </c>
      <c r="AU25" s="4">
        <f t="shared" si="21"/>
        <v>103.6875313472945</v>
      </c>
      <c r="AV25">
        <v>73.131836418999995</v>
      </c>
      <c r="AW25" s="4">
        <f t="shared" si="22"/>
        <v>104.34977175519772</v>
      </c>
      <c r="AX25">
        <v>99.028357514000007</v>
      </c>
      <c r="AY25" s="4">
        <f t="shared" si="23"/>
        <v>141.30079333264638</v>
      </c>
      <c r="AZ25">
        <v>89.710579397999993</v>
      </c>
      <c r="BA25" s="4">
        <f t="shared" si="24"/>
        <v>128.00551637420304</v>
      </c>
      <c r="BB25">
        <v>67.446990489000001</v>
      </c>
      <c r="BC25" s="4">
        <f t="shared" si="25"/>
        <v>96.238224113207366</v>
      </c>
      <c r="BD25">
        <v>77.728544247000002</v>
      </c>
      <c r="BE25" s="4">
        <f t="shared" si="26"/>
        <v>110.908685576655</v>
      </c>
      <c r="BF25">
        <v>63.593919756000012</v>
      </c>
      <c r="BG25" s="4">
        <f t="shared" si="27"/>
        <v>90.740385261717478</v>
      </c>
      <c r="BH25">
        <v>70.493639951999995</v>
      </c>
      <c r="BI25" s="4">
        <f t="shared" si="28"/>
        <v>100.58540301161048</v>
      </c>
      <c r="BJ25">
        <v>90.843353269999994</v>
      </c>
      <c r="BK25" s="4">
        <f t="shared" si="29"/>
        <v>129.62183972640511</v>
      </c>
      <c r="BL25">
        <v>76.948301321000002</v>
      </c>
      <c r="BM25" s="4">
        <f t="shared" si="30"/>
        <v>109.79537877036572</v>
      </c>
      <c r="BN25">
        <v>78.322012435000005</v>
      </c>
      <c r="BO25" s="4">
        <f t="shared" si="31"/>
        <v>111.75548873372274</v>
      </c>
      <c r="BP25">
        <v>72.691650866999993</v>
      </c>
      <c r="BQ25" s="4">
        <f t="shared" si="32"/>
        <v>103.72168330384301</v>
      </c>
      <c r="BR25">
        <v>70.355614185000007</v>
      </c>
      <c r="BS25" s="4">
        <f t="shared" si="33"/>
        <v>100.38845790551107</v>
      </c>
      <c r="BT25">
        <v>92.412500866000002</v>
      </c>
      <c r="BU25" s="4">
        <f t="shared" si="34"/>
        <v>131.8608125392125</v>
      </c>
      <c r="BV25">
        <v>109.143548009</v>
      </c>
      <c r="BW25" s="4">
        <f t="shared" si="35"/>
        <v>155.73387570960372</v>
      </c>
      <c r="BX25">
        <v>107.44195365</v>
      </c>
      <c r="BY25" s="4">
        <f t="shared" si="36"/>
        <v>153.30591831544959</v>
      </c>
      <c r="BZ25">
        <v>91.015300758999999</v>
      </c>
      <c r="CA25" s="4">
        <f t="shared" si="37"/>
        <v>129.86718678877381</v>
      </c>
      <c r="CB25">
        <v>86.681594848000003</v>
      </c>
      <c r="CC25" s="4">
        <f t="shared" si="38"/>
        <v>123.68354304603976</v>
      </c>
      <c r="CD25">
        <v>103.022559632</v>
      </c>
      <c r="CE25" s="4">
        <f t="shared" si="39"/>
        <v>147.0000086096901</v>
      </c>
    </row>
    <row r="26" spans="1:83" x14ac:dyDescent="0.2">
      <c r="A26" s="2">
        <v>42028</v>
      </c>
      <c r="B26">
        <v>2016</v>
      </c>
      <c r="C26">
        <v>12</v>
      </c>
      <c r="D26">
        <v>124.170255658</v>
      </c>
      <c r="E26" s="4">
        <f t="shared" si="0"/>
        <v>14.752723275554226</v>
      </c>
      <c r="F26">
        <v>137.24342250000001</v>
      </c>
      <c r="G26" s="4">
        <f t="shared" si="1"/>
        <v>16.305952039827545</v>
      </c>
      <c r="H26">
        <v>167.03366947000001</v>
      </c>
      <c r="I26" s="4">
        <f t="shared" si="2"/>
        <v>19.845344525813076</v>
      </c>
      <c r="J26">
        <v>132.64163112</v>
      </c>
      <c r="K26" s="4">
        <f t="shared" si="3"/>
        <v>15.759211160208544</v>
      </c>
      <c r="L26">
        <v>194.57845019999999</v>
      </c>
      <c r="M26" s="4">
        <f t="shared" si="4"/>
        <v>23.117952169585191</v>
      </c>
      <c r="N26">
        <v>107.33875847500001</v>
      </c>
      <c r="O26" s="4">
        <f t="shared" si="5"/>
        <v>12.752965612672494</v>
      </c>
      <c r="P26">
        <v>52.634387490999998</v>
      </c>
      <c r="Q26" s="4">
        <f t="shared" si="6"/>
        <v>6.2535149768211644</v>
      </c>
      <c r="R26">
        <v>95.734499456999998</v>
      </c>
      <c r="S26" s="4">
        <f t="shared" si="7"/>
        <v>11.374258439982709</v>
      </c>
      <c r="T26">
        <v>87.658695695000006</v>
      </c>
      <c r="U26" s="4">
        <f t="shared" si="8"/>
        <v>10.414768604859786</v>
      </c>
      <c r="V26">
        <v>58.954430102000003</v>
      </c>
      <c r="W26" s="4">
        <f t="shared" si="9"/>
        <v>7.0044020490568668</v>
      </c>
      <c r="X26">
        <v>117.88162946999999</v>
      </c>
      <c r="Y26" s="4">
        <f t="shared" si="10"/>
        <v>14.005568802501562</v>
      </c>
      <c r="Z26">
        <v>103.68531228000001</v>
      </c>
      <c r="AA26" s="4">
        <f t="shared" si="11"/>
        <v>12.318898046077377</v>
      </c>
      <c r="AB26">
        <v>56.904069423000003</v>
      </c>
      <c r="AC26" s="4">
        <f t="shared" si="12"/>
        <v>6.7607977852815129</v>
      </c>
      <c r="AD26">
        <v>125.68656636</v>
      </c>
      <c r="AE26" s="4">
        <f t="shared" si="13"/>
        <v>14.932876824146248</v>
      </c>
      <c r="AF26">
        <v>96.673789020000001</v>
      </c>
      <c r="AG26" s="4">
        <f t="shared" si="14"/>
        <v>11.485855850531026</v>
      </c>
      <c r="AH26">
        <v>62.510367391999999</v>
      </c>
      <c r="AI26" s="4">
        <f t="shared" si="15"/>
        <v>7.4268845393006107</v>
      </c>
      <c r="AJ26">
        <v>96.504137040000003</v>
      </c>
      <c r="AK26" s="4">
        <f t="shared" si="16"/>
        <v>11.465699423367155</v>
      </c>
      <c r="AL26">
        <v>75.989571569999995</v>
      </c>
      <c r="AM26" s="4">
        <f t="shared" si="17"/>
        <v>9.0283547799710586</v>
      </c>
      <c r="AN26">
        <v>59.877161979999997</v>
      </c>
      <c r="AO26" s="4">
        <f t="shared" si="18"/>
        <v>7.1140322336894881</v>
      </c>
      <c r="AP26">
        <v>105.21778059099999</v>
      </c>
      <c r="AQ26" s="4">
        <f t="shared" si="19"/>
        <v>12.500971287377675</v>
      </c>
      <c r="AR26">
        <v>60.907104009000001</v>
      </c>
      <c r="AS26" s="4">
        <f t="shared" si="20"/>
        <v>7.2364001040235051</v>
      </c>
      <c r="AT26">
        <v>10.352159976999999</v>
      </c>
      <c r="AU26" s="4">
        <f t="shared" si="21"/>
        <v>1.229944728998464</v>
      </c>
      <c r="AV26">
        <v>28.975545166</v>
      </c>
      <c r="AW26" s="4">
        <f t="shared" si="22"/>
        <v>3.4425974024704376</v>
      </c>
      <c r="AX26">
        <v>25.757972480999999</v>
      </c>
      <c r="AY26" s="4">
        <f t="shared" si="23"/>
        <v>3.0603161613692902</v>
      </c>
      <c r="AZ26">
        <v>23.366534708</v>
      </c>
      <c r="BA26" s="4">
        <f t="shared" si="24"/>
        <v>2.7761883764273927</v>
      </c>
      <c r="BB26">
        <v>40.396461965</v>
      </c>
      <c r="BC26" s="4">
        <f t="shared" si="25"/>
        <v>4.7995216046146583</v>
      </c>
      <c r="BD26">
        <v>44.004477735999998</v>
      </c>
      <c r="BE26" s="4">
        <f t="shared" si="26"/>
        <v>5.2281915623378952</v>
      </c>
      <c r="BF26">
        <v>42.491015073</v>
      </c>
      <c r="BG26" s="4">
        <f t="shared" si="27"/>
        <v>5.0483763905255801</v>
      </c>
      <c r="BH26">
        <v>32.319324966000003</v>
      </c>
      <c r="BI26" s="4">
        <f t="shared" si="28"/>
        <v>3.8398733670110636</v>
      </c>
      <c r="BJ26">
        <v>21.450824022999999</v>
      </c>
      <c r="BK26" s="4">
        <f t="shared" si="29"/>
        <v>2.5485819382988537</v>
      </c>
      <c r="BL26">
        <v>17.438566624</v>
      </c>
      <c r="BM26" s="4">
        <f t="shared" si="30"/>
        <v>2.0718838530442603</v>
      </c>
      <c r="BN26">
        <v>29.135051492999999</v>
      </c>
      <c r="BO26" s="4">
        <f t="shared" si="31"/>
        <v>3.4615484200910527</v>
      </c>
      <c r="BP26">
        <v>29.378161902999999</v>
      </c>
      <c r="BQ26" s="4">
        <f t="shared" si="32"/>
        <v>3.4904324759797261</v>
      </c>
      <c r="BR26">
        <v>1.7655676010000001</v>
      </c>
      <c r="BS26" s="4">
        <f t="shared" si="33"/>
        <v>0.20976787157125415</v>
      </c>
      <c r="BT26">
        <v>53.029341699</v>
      </c>
      <c r="BU26" s="4">
        <f t="shared" si="34"/>
        <v>6.3004396618535274</v>
      </c>
      <c r="BV26">
        <v>27.011627192999999</v>
      </c>
      <c r="BW26" s="4">
        <f t="shared" si="35"/>
        <v>3.2092634350237037</v>
      </c>
      <c r="BX26">
        <v>18.767112612999998</v>
      </c>
      <c r="BY26" s="4">
        <f t="shared" si="36"/>
        <v>2.2297289926125279</v>
      </c>
      <c r="BZ26">
        <v>4.6233189560000003</v>
      </c>
      <c r="CA26" s="4">
        <f t="shared" si="37"/>
        <v>0.54929858049380509</v>
      </c>
      <c r="CB26">
        <v>2.9108793739999999</v>
      </c>
      <c r="CC26" s="4">
        <f t="shared" si="38"/>
        <v>0.34584287247840395</v>
      </c>
      <c r="CD26">
        <v>3.4617666460000001</v>
      </c>
      <c r="CE26" s="4">
        <f t="shared" si="39"/>
        <v>0.41129403416583155</v>
      </c>
    </row>
    <row r="27" spans="1:83" x14ac:dyDescent="0.2">
      <c r="A27" s="2">
        <v>42029</v>
      </c>
      <c r="B27">
        <v>2017</v>
      </c>
      <c r="C27">
        <v>1</v>
      </c>
      <c r="D27">
        <v>105.39948368</v>
      </c>
      <c r="E27" s="4">
        <f t="shared" si="0"/>
        <v>235.61512720754232</v>
      </c>
      <c r="F27">
        <v>100.081470489</v>
      </c>
      <c r="G27" s="4">
        <f t="shared" si="1"/>
        <v>223.7269821166891</v>
      </c>
      <c r="H27">
        <v>145.95196533999999</v>
      </c>
      <c r="I27" s="4">
        <f t="shared" si="2"/>
        <v>326.26811516630102</v>
      </c>
      <c r="J27">
        <v>108.30830764</v>
      </c>
      <c r="K27" s="4">
        <f t="shared" si="3"/>
        <v>242.11765362826515</v>
      </c>
      <c r="L27">
        <v>163.30105592000001</v>
      </c>
      <c r="M27" s="4">
        <f t="shared" si="4"/>
        <v>365.05111524581218</v>
      </c>
      <c r="N27">
        <v>105.057971955</v>
      </c>
      <c r="O27" s="4">
        <f t="shared" si="5"/>
        <v>234.8516953033307</v>
      </c>
      <c r="P27">
        <v>35.083160405999998</v>
      </c>
      <c r="Q27" s="4">
        <f t="shared" si="6"/>
        <v>78.426601471775825</v>
      </c>
      <c r="R27">
        <v>82.310531623999992</v>
      </c>
      <c r="S27" s="4">
        <f t="shared" si="7"/>
        <v>184.00096188316726</v>
      </c>
      <c r="T27">
        <v>55.874022488000001</v>
      </c>
      <c r="U27" s="4">
        <f t="shared" si="8"/>
        <v>124.90350480346109</v>
      </c>
      <c r="V27">
        <v>32.733386996999997</v>
      </c>
      <c r="W27" s="4">
        <f t="shared" si="9"/>
        <v>73.17380381717507</v>
      </c>
      <c r="X27">
        <v>80.406249508999991</v>
      </c>
      <c r="Y27" s="4">
        <f t="shared" si="10"/>
        <v>179.74403711371596</v>
      </c>
      <c r="Z27">
        <v>37.737962719999999</v>
      </c>
      <c r="AA27" s="4">
        <f t="shared" si="11"/>
        <v>84.361275562050167</v>
      </c>
      <c r="AB27">
        <v>10.70357278</v>
      </c>
      <c r="AC27" s="4">
        <f t="shared" si="12"/>
        <v>23.927286681893232</v>
      </c>
      <c r="AD27">
        <v>75.802811143</v>
      </c>
      <c r="AE27" s="4">
        <f t="shared" si="13"/>
        <v>169.45328730805079</v>
      </c>
      <c r="AF27">
        <v>34.655820845000001</v>
      </c>
      <c r="AG27" s="4">
        <f t="shared" si="14"/>
        <v>77.471305852572186</v>
      </c>
      <c r="AH27">
        <v>6.5265859960000014</v>
      </c>
      <c r="AI27" s="4">
        <f t="shared" si="15"/>
        <v>14.589847464027962</v>
      </c>
      <c r="AJ27">
        <v>75.938987252000004</v>
      </c>
      <c r="AK27" s="4">
        <f t="shared" si="16"/>
        <v>169.75770199894316</v>
      </c>
      <c r="AL27">
        <v>58.624454976000003</v>
      </c>
      <c r="AM27" s="4">
        <f t="shared" si="17"/>
        <v>131.05195523139091</v>
      </c>
      <c r="AN27">
        <v>25.202365159999999</v>
      </c>
      <c r="AO27" s="4">
        <f t="shared" si="18"/>
        <v>56.338591668367954</v>
      </c>
      <c r="AP27">
        <v>89.931466099999994</v>
      </c>
      <c r="AQ27" s="4">
        <f t="shared" si="19"/>
        <v>201.03716911407432</v>
      </c>
      <c r="AR27">
        <v>68.651856429999995</v>
      </c>
      <c r="AS27" s="4">
        <f t="shared" si="20"/>
        <v>153.46769567579707</v>
      </c>
      <c r="AT27">
        <v>12.436807870000001</v>
      </c>
      <c r="AU27" s="4">
        <f t="shared" si="21"/>
        <v>27.801844620438594</v>
      </c>
      <c r="AV27">
        <v>10.953807949</v>
      </c>
      <c r="AW27" s="4">
        <f t="shared" si="22"/>
        <v>24.486674537670023</v>
      </c>
      <c r="AX27">
        <v>18.958655833000002</v>
      </c>
      <c r="AY27" s="4">
        <f t="shared" si="23"/>
        <v>42.381100455276055</v>
      </c>
      <c r="AZ27">
        <v>16.565637111000001</v>
      </c>
      <c r="BA27" s="4">
        <f t="shared" si="24"/>
        <v>37.031630126693699</v>
      </c>
      <c r="BB27">
        <v>21.493498086999999</v>
      </c>
      <c r="BC27" s="4">
        <f t="shared" si="25"/>
        <v>48.047609998534782</v>
      </c>
      <c r="BD27">
        <v>17.724125866000001</v>
      </c>
      <c r="BE27" s="4">
        <f t="shared" si="26"/>
        <v>39.621372180901005</v>
      </c>
      <c r="BF27">
        <v>15.040801999999999</v>
      </c>
      <c r="BG27" s="4">
        <f t="shared" si="27"/>
        <v>33.622939627415988</v>
      </c>
      <c r="BH27">
        <v>13.33770657</v>
      </c>
      <c r="BI27" s="4">
        <f t="shared" si="28"/>
        <v>29.815757349328816</v>
      </c>
      <c r="BJ27">
        <v>17.042652607000001</v>
      </c>
      <c r="BK27" s="4">
        <f t="shared" si="29"/>
        <v>38.097973744763394</v>
      </c>
      <c r="BL27">
        <v>14.771752360000001</v>
      </c>
      <c r="BM27" s="4">
        <f t="shared" si="30"/>
        <v>33.021492988965591</v>
      </c>
      <c r="BN27">
        <v>17.976947786</v>
      </c>
      <c r="BO27" s="4">
        <f t="shared" si="31"/>
        <v>40.186542585554115</v>
      </c>
      <c r="BP27">
        <v>19.844064710000001</v>
      </c>
      <c r="BQ27" s="4">
        <f t="shared" si="32"/>
        <v>44.360386481177414</v>
      </c>
      <c r="BR27">
        <v>8.6300620429999988</v>
      </c>
      <c r="BS27" s="4">
        <f t="shared" si="33"/>
        <v>19.292060027958829</v>
      </c>
      <c r="BT27">
        <v>29.46326161</v>
      </c>
      <c r="BU27" s="4">
        <f t="shared" si="34"/>
        <v>65.863606630802877</v>
      </c>
      <c r="BV27">
        <v>28.89334964</v>
      </c>
      <c r="BW27" s="4">
        <f t="shared" si="35"/>
        <v>64.589597720888918</v>
      </c>
      <c r="BX27">
        <v>11.222733676000001</v>
      </c>
      <c r="BY27" s="4">
        <f t="shared" si="36"/>
        <v>25.087844174979253</v>
      </c>
      <c r="BZ27">
        <v>9.4845135200000001</v>
      </c>
      <c r="CA27" s="4">
        <f t="shared" si="37"/>
        <v>21.202142377671795</v>
      </c>
      <c r="CB27">
        <v>10.466945887</v>
      </c>
      <c r="CC27" s="4">
        <f t="shared" si="38"/>
        <v>23.398319427516636</v>
      </c>
      <c r="CD27">
        <v>14.248343944</v>
      </c>
      <c r="CE27" s="4">
        <f t="shared" si="39"/>
        <v>31.851440383283432</v>
      </c>
    </row>
    <row r="28" spans="1:83" x14ac:dyDescent="0.2">
      <c r="A28" s="2">
        <v>42030</v>
      </c>
      <c r="B28">
        <v>2017</v>
      </c>
      <c r="C28">
        <v>2</v>
      </c>
      <c r="D28">
        <v>38.416564940000001</v>
      </c>
      <c r="E28" s="4">
        <f t="shared" si="0"/>
        <v>9.6753094563456035</v>
      </c>
      <c r="F28">
        <v>45.381374360000002</v>
      </c>
      <c r="G28" s="4">
        <f t="shared" si="1"/>
        <v>11.429414399049806</v>
      </c>
      <c r="H28">
        <v>61.06792068</v>
      </c>
      <c r="I28" s="4">
        <f t="shared" si="2"/>
        <v>15.380110932806561</v>
      </c>
      <c r="J28">
        <v>35.156980992000001</v>
      </c>
      <c r="K28" s="4">
        <f t="shared" si="3"/>
        <v>8.8543749598571022</v>
      </c>
      <c r="L28">
        <v>53.813052656000004</v>
      </c>
      <c r="M28" s="4">
        <f t="shared" si="4"/>
        <v>13.552953993950213</v>
      </c>
      <c r="N28">
        <v>34.783250809000002</v>
      </c>
      <c r="O28" s="4">
        <f t="shared" si="5"/>
        <v>8.7602500640120642</v>
      </c>
      <c r="P28">
        <v>11.87144852</v>
      </c>
      <c r="Q28" s="4">
        <f t="shared" si="6"/>
        <v>2.989854462663887</v>
      </c>
      <c r="R28">
        <v>25.706208229000001</v>
      </c>
      <c r="S28" s="4">
        <f t="shared" si="7"/>
        <v>6.474173834992361</v>
      </c>
      <c r="T28">
        <v>23.361759663000001</v>
      </c>
      <c r="U28" s="4">
        <f t="shared" si="8"/>
        <v>5.8837185088599231</v>
      </c>
      <c r="V28">
        <v>13.254324435999999</v>
      </c>
      <c r="W28" s="4">
        <f t="shared" si="9"/>
        <v>3.3381352745460591</v>
      </c>
      <c r="X28">
        <v>25.051800251</v>
      </c>
      <c r="Y28" s="4">
        <f t="shared" si="10"/>
        <v>6.3093595235686228</v>
      </c>
      <c r="Z28">
        <v>14.742558002999999</v>
      </c>
      <c r="AA28" s="4">
        <f t="shared" si="11"/>
        <v>3.7129506784358908</v>
      </c>
      <c r="AB28">
        <v>0</v>
      </c>
      <c r="AC28" s="4">
        <f t="shared" si="12"/>
        <v>0</v>
      </c>
      <c r="AD28">
        <v>22.256278036000001</v>
      </c>
      <c r="AE28" s="4">
        <f t="shared" si="13"/>
        <v>5.6053001532304041</v>
      </c>
      <c r="AF28">
        <v>12.014919280000001</v>
      </c>
      <c r="AG28" s="4">
        <f t="shared" si="14"/>
        <v>3.0259879379786403</v>
      </c>
      <c r="AH28">
        <v>0</v>
      </c>
      <c r="AI28" s="4">
        <f t="shared" si="15"/>
        <v>0</v>
      </c>
      <c r="AJ28">
        <v>29.287174220000001</v>
      </c>
      <c r="AK28" s="4">
        <f t="shared" si="16"/>
        <v>7.376049215305172</v>
      </c>
      <c r="AL28">
        <v>21.66882515</v>
      </c>
      <c r="AM28" s="4">
        <f t="shared" si="17"/>
        <v>5.4573486517895438</v>
      </c>
      <c r="AN28">
        <v>10.95478535</v>
      </c>
      <c r="AO28" s="4">
        <f t="shared" si="18"/>
        <v>2.7589905150195162</v>
      </c>
      <c r="AP28">
        <v>33.614505770000001</v>
      </c>
      <c r="AQ28" s="4">
        <f t="shared" si="19"/>
        <v>8.4658986573843542</v>
      </c>
      <c r="AR28">
        <v>30.739177699999999</v>
      </c>
      <c r="AS28" s="4">
        <f t="shared" si="20"/>
        <v>7.7417399797613946</v>
      </c>
      <c r="AT28">
        <v>5.9632472989999998</v>
      </c>
      <c r="AU28" s="4">
        <f t="shared" si="21"/>
        <v>1.5018589786112739</v>
      </c>
      <c r="AV28">
        <v>0</v>
      </c>
      <c r="AW28" s="4">
        <f t="shared" si="22"/>
        <v>0</v>
      </c>
      <c r="AX28">
        <v>7.825098992</v>
      </c>
      <c r="AY28" s="4">
        <f t="shared" si="23"/>
        <v>1.9707710565060754</v>
      </c>
      <c r="AZ28">
        <v>5.7786774629999993</v>
      </c>
      <c r="BA28" s="4">
        <f t="shared" si="24"/>
        <v>1.4553745966162668</v>
      </c>
      <c r="BB28">
        <v>12.30520439</v>
      </c>
      <c r="BC28" s="4">
        <f t="shared" si="25"/>
        <v>3.0990969802422019</v>
      </c>
      <c r="BD28">
        <v>9.9692020419999992</v>
      </c>
      <c r="BE28" s="4">
        <f t="shared" si="26"/>
        <v>2.5107688555660461</v>
      </c>
      <c r="BF28">
        <v>11.721717829999999</v>
      </c>
      <c r="BG28" s="4">
        <f t="shared" si="27"/>
        <v>2.9521444080787163</v>
      </c>
      <c r="BH28">
        <v>9.9290275569999995</v>
      </c>
      <c r="BI28" s="4">
        <f t="shared" si="28"/>
        <v>2.5006508094775581</v>
      </c>
      <c r="BJ28">
        <v>9.2228994370000006</v>
      </c>
      <c r="BK28" s="4">
        <f t="shared" si="29"/>
        <v>2.3228106489244755</v>
      </c>
      <c r="BL28">
        <v>9.6708393099999999</v>
      </c>
      <c r="BM28" s="4">
        <f t="shared" si="30"/>
        <v>2.4356254436850175</v>
      </c>
      <c r="BN28">
        <v>12.934158330000001</v>
      </c>
      <c r="BO28" s="4">
        <f t="shared" si="31"/>
        <v>3.2575006275436209</v>
      </c>
      <c r="BP28">
        <v>13.01603603</v>
      </c>
      <c r="BQ28" s="4">
        <f t="shared" si="32"/>
        <v>3.2781217342539968</v>
      </c>
      <c r="BR28">
        <v>7.1403260230000001</v>
      </c>
      <c r="BS28" s="4">
        <f t="shared" si="33"/>
        <v>1.7983092449733873</v>
      </c>
      <c r="BT28">
        <v>10.14672279</v>
      </c>
      <c r="BU28" s="4">
        <f t="shared" si="34"/>
        <v>2.5554779068439131</v>
      </c>
      <c r="BV28">
        <v>10.461654660000001</v>
      </c>
      <c r="BW28" s="4">
        <f t="shared" si="35"/>
        <v>2.6347942982150463</v>
      </c>
      <c r="BX28">
        <v>0</v>
      </c>
      <c r="BY28" s="4">
        <f t="shared" si="36"/>
        <v>0</v>
      </c>
      <c r="BZ28">
        <v>6.8060035709999998</v>
      </c>
      <c r="CA28" s="4">
        <f t="shared" si="37"/>
        <v>1.7141092862744185</v>
      </c>
      <c r="CB28">
        <v>6.5728311540000002</v>
      </c>
      <c r="CC28" s="4">
        <f t="shared" si="38"/>
        <v>1.6553842208063694</v>
      </c>
      <c r="CD28">
        <v>10.511619570000001</v>
      </c>
      <c r="CE28" s="4">
        <f t="shared" si="39"/>
        <v>2.6473780877069877</v>
      </c>
    </row>
    <row r="29" spans="1:83" x14ac:dyDescent="0.2">
      <c r="A29" s="2">
        <v>42031</v>
      </c>
      <c r="B29">
        <v>2017</v>
      </c>
      <c r="C29">
        <v>3</v>
      </c>
      <c r="D29">
        <v>31.050728794000001</v>
      </c>
      <c r="E29" s="4">
        <f t="shared" si="0"/>
        <v>2.7868803373221724</v>
      </c>
      <c r="F29">
        <v>34.546056747000002</v>
      </c>
      <c r="G29" s="4">
        <f t="shared" si="1"/>
        <v>3.100594737049581</v>
      </c>
      <c r="H29">
        <v>35.134698626000002</v>
      </c>
      <c r="I29" s="4">
        <f t="shared" si="2"/>
        <v>3.1534268135265258</v>
      </c>
      <c r="J29">
        <v>29.125307079999999</v>
      </c>
      <c r="K29" s="4">
        <f t="shared" si="3"/>
        <v>2.6140689372613588</v>
      </c>
      <c r="L29">
        <v>38.996620180000001</v>
      </c>
      <c r="M29" s="4">
        <f t="shared" si="4"/>
        <v>3.5000439030810546</v>
      </c>
      <c r="N29">
        <v>32.134132389999998</v>
      </c>
      <c r="O29" s="4">
        <f t="shared" si="5"/>
        <v>2.8841185116371006</v>
      </c>
      <c r="P29">
        <v>19.482934475</v>
      </c>
      <c r="Q29" s="4">
        <f t="shared" si="6"/>
        <v>1.7486419517536618</v>
      </c>
      <c r="R29">
        <v>25.630258560000001</v>
      </c>
      <c r="S29" s="4">
        <f t="shared" si="7"/>
        <v>2.3003796173424949</v>
      </c>
      <c r="T29">
        <v>23.154455427999999</v>
      </c>
      <c r="U29" s="4">
        <f t="shared" si="8"/>
        <v>2.0781701125857266</v>
      </c>
      <c r="V29">
        <v>20.539267545000001</v>
      </c>
      <c r="W29" s="4">
        <f t="shared" si="9"/>
        <v>1.8434504788570585</v>
      </c>
      <c r="X29">
        <v>24.252313610000002</v>
      </c>
      <c r="Y29" s="4">
        <f t="shared" si="10"/>
        <v>2.176705622038094</v>
      </c>
      <c r="Z29">
        <v>18.06054688</v>
      </c>
      <c r="AA29" s="4">
        <f t="shared" si="11"/>
        <v>1.6209791182383837</v>
      </c>
      <c r="AB29">
        <v>11.831951618</v>
      </c>
      <c r="AC29" s="4">
        <f t="shared" si="12"/>
        <v>1.0619471618560898</v>
      </c>
      <c r="AD29">
        <v>23.052909132</v>
      </c>
      <c r="AE29" s="4">
        <f t="shared" si="13"/>
        <v>2.0690560793040031</v>
      </c>
      <c r="AF29">
        <v>16.26363885</v>
      </c>
      <c r="AG29" s="4">
        <f t="shared" si="14"/>
        <v>1.4597021417781408</v>
      </c>
      <c r="AH29">
        <v>8.2537393570000006</v>
      </c>
      <c r="AI29" s="4">
        <f t="shared" si="15"/>
        <v>0.74079368880546903</v>
      </c>
      <c r="AJ29">
        <v>26.949829099999999</v>
      </c>
      <c r="AK29" s="4">
        <f t="shared" si="16"/>
        <v>2.4188143637870358</v>
      </c>
      <c r="AL29">
        <v>20.305921550000001</v>
      </c>
      <c r="AM29" s="4">
        <f t="shared" si="17"/>
        <v>1.8225070939345107</v>
      </c>
      <c r="AN29">
        <v>13.250473019999999</v>
      </c>
      <c r="AO29" s="4">
        <f t="shared" si="18"/>
        <v>1.1892629949088835</v>
      </c>
      <c r="AP29">
        <v>25.648340229999999</v>
      </c>
      <c r="AQ29" s="4">
        <f t="shared" si="19"/>
        <v>2.3020024923134255</v>
      </c>
      <c r="AR29">
        <v>23.57635784</v>
      </c>
      <c r="AS29" s="4">
        <f t="shared" si="20"/>
        <v>2.1160369061180835</v>
      </c>
      <c r="AT29">
        <v>10.534136415000001</v>
      </c>
      <c r="AU29" s="4">
        <f t="shared" si="21"/>
        <v>0.94546501115638137</v>
      </c>
      <c r="AV29">
        <v>10.255635619</v>
      </c>
      <c r="AW29" s="4">
        <f t="shared" si="22"/>
        <v>0.92046887024612511</v>
      </c>
      <c r="AX29">
        <v>14.326958416</v>
      </c>
      <c r="AY29" s="4">
        <f t="shared" si="23"/>
        <v>1.2858802435225964</v>
      </c>
      <c r="AZ29">
        <v>14.113948111999999</v>
      </c>
      <c r="BA29" s="4">
        <f t="shared" si="24"/>
        <v>1.2667620375763537</v>
      </c>
      <c r="BB29">
        <v>11.04881191</v>
      </c>
      <c r="BC29" s="4">
        <f t="shared" si="25"/>
        <v>0.99165842022683814</v>
      </c>
      <c r="BD29">
        <v>10.628506064</v>
      </c>
      <c r="BE29" s="4">
        <f t="shared" si="26"/>
        <v>0.95393492247417666</v>
      </c>
      <c r="BF29">
        <v>12.77326107</v>
      </c>
      <c r="BG29" s="4">
        <f t="shared" si="27"/>
        <v>1.1464320324212283</v>
      </c>
      <c r="BH29">
        <v>10.669705390000001</v>
      </c>
      <c r="BI29" s="4">
        <f t="shared" si="28"/>
        <v>0.95763266471726749</v>
      </c>
      <c r="BJ29">
        <v>12.440349579999999</v>
      </c>
      <c r="BK29" s="4">
        <f t="shared" si="29"/>
        <v>1.1165523960460297</v>
      </c>
      <c r="BL29">
        <v>11.9561615</v>
      </c>
      <c r="BM29" s="4">
        <f t="shared" si="30"/>
        <v>1.0730953084952051</v>
      </c>
      <c r="BN29">
        <v>13.81122351</v>
      </c>
      <c r="BO29" s="4">
        <f t="shared" si="31"/>
        <v>1.2395917496731437</v>
      </c>
      <c r="BP29">
        <v>13.130337237999999</v>
      </c>
      <c r="BQ29" s="4">
        <f t="shared" si="32"/>
        <v>1.1784805089039392</v>
      </c>
      <c r="BR29">
        <v>10.313857794</v>
      </c>
      <c r="BS29" s="4">
        <f t="shared" si="33"/>
        <v>0.92569445563512209</v>
      </c>
      <c r="BT29">
        <v>12.389405011999999</v>
      </c>
      <c r="BU29" s="4">
        <f t="shared" si="34"/>
        <v>1.1119799940327151</v>
      </c>
      <c r="BV29">
        <v>17.618797778000001</v>
      </c>
      <c r="BW29" s="4">
        <f t="shared" si="35"/>
        <v>1.5813310347888445</v>
      </c>
      <c r="BX29">
        <v>13.084880829999999</v>
      </c>
      <c r="BY29" s="4">
        <f t="shared" si="36"/>
        <v>1.1744006829358939</v>
      </c>
      <c r="BZ29">
        <v>11.17584038</v>
      </c>
      <c r="CA29" s="4">
        <f t="shared" si="37"/>
        <v>1.0030595421673811</v>
      </c>
      <c r="CB29">
        <v>12.497356419000001</v>
      </c>
      <c r="CC29" s="4">
        <f t="shared" si="38"/>
        <v>1.1216689019984663</v>
      </c>
      <c r="CD29">
        <v>14.902795791999999</v>
      </c>
      <c r="CE29" s="4">
        <f t="shared" si="39"/>
        <v>1.3375630839259975</v>
      </c>
    </row>
    <row r="30" spans="1:83" x14ac:dyDescent="0.2">
      <c r="A30" s="2">
        <v>42032</v>
      </c>
      <c r="B30">
        <v>2017</v>
      </c>
      <c r="C30">
        <v>4</v>
      </c>
      <c r="D30">
        <v>58.233945839999997</v>
      </c>
      <c r="E30" s="4">
        <f t="shared" si="0"/>
        <v>14.794761848082663</v>
      </c>
      <c r="F30">
        <v>58.559471129999999</v>
      </c>
      <c r="G30" s="4">
        <f t="shared" si="1"/>
        <v>14.877463939991571</v>
      </c>
      <c r="H30">
        <v>59.379280090000002</v>
      </c>
      <c r="I30" s="4">
        <f t="shared" si="2"/>
        <v>15.085742430297705</v>
      </c>
      <c r="J30">
        <v>66.190404896000004</v>
      </c>
      <c r="K30" s="4">
        <f t="shared" si="3"/>
        <v>16.816158735921316</v>
      </c>
      <c r="L30">
        <v>80.655210499999995</v>
      </c>
      <c r="M30" s="4">
        <f t="shared" si="4"/>
        <v>20.491048888101176</v>
      </c>
      <c r="N30">
        <v>63.272439955999992</v>
      </c>
      <c r="O30" s="4">
        <f t="shared" si="5"/>
        <v>16.074828301487628</v>
      </c>
      <c r="P30">
        <v>80.145891192999997</v>
      </c>
      <c r="Q30" s="4">
        <f t="shared" si="6"/>
        <v>20.361652575641106</v>
      </c>
      <c r="R30">
        <v>56.126808881000002</v>
      </c>
      <c r="S30" s="4">
        <f t="shared" si="7"/>
        <v>14.259428220247251</v>
      </c>
      <c r="T30">
        <v>63.942925449999997</v>
      </c>
      <c r="U30" s="4">
        <f t="shared" si="8"/>
        <v>16.24517006801636</v>
      </c>
      <c r="V30">
        <v>58.751177786</v>
      </c>
      <c r="W30" s="4">
        <f t="shared" si="9"/>
        <v>14.926168424623354</v>
      </c>
      <c r="X30">
        <v>53.577666284000003</v>
      </c>
      <c r="Y30" s="4">
        <f t="shared" si="10"/>
        <v>13.61179981218714</v>
      </c>
      <c r="Z30">
        <v>42.733570100999998</v>
      </c>
      <c r="AA30" s="4">
        <f t="shared" si="11"/>
        <v>10.856777493658512</v>
      </c>
      <c r="AB30">
        <v>30.511945251</v>
      </c>
      <c r="AC30" s="4">
        <f t="shared" si="12"/>
        <v>7.7517838950938893</v>
      </c>
      <c r="AD30">
        <v>46.377395628000002</v>
      </c>
      <c r="AE30" s="4">
        <f t="shared" si="13"/>
        <v>11.782518143897944</v>
      </c>
      <c r="AF30">
        <v>36.294511315999998</v>
      </c>
      <c r="AG30" s="4">
        <f t="shared" si="14"/>
        <v>9.2208872946391658</v>
      </c>
      <c r="AH30">
        <v>29.300847888</v>
      </c>
      <c r="AI30" s="4">
        <f t="shared" si="15"/>
        <v>7.4440957107888792</v>
      </c>
      <c r="AJ30">
        <v>48.104684829999997</v>
      </c>
      <c r="AK30" s="4">
        <f t="shared" si="16"/>
        <v>12.221348657917508</v>
      </c>
      <c r="AL30">
        <v>46.343381890000003</v>
      </c>
      <c r="AM30" s="4">
        <f t="shared" si="17"/>
        <v>11.773876703823529</v>
      </c>
      <c r="AN30">
        <v>40.176432374999997</v>
      </c>
      <c r="AO30" s="4">
        <f t="shared" si="18"/>
        <v>10.20711786432714</v>
      </c>
      <c r="AP30">
        <v>49.960596080000002</v>
      </c>
      <c r="AQ30" s="4">
        <f t="shared" si="19"/>
        <v>12.692856548355994</v>
      </c>
      <c r="AR30">
        <v>49.343660360000001</v>
      </c>
      <c r="AS30" s="4">
        <f t="shared" si="20"/>
        <v>12.536119495399745</v>
      </c>
      <c r="AT30">
        <v>51.916851049999998</v>
      </c>
      <c r="AU30" s="4">
        <f t="shared" si="21"/>
        <v>13.189857498193708</v>
      </c>
      <c r="AV30">
        <v>43.669801718999999</v>
      </c>
      <c r="AW30" s="4">
        <f t="shared" si="22"/>
        <v>11.094634015712026</v>
      </c>
      <c r="AX30">
        <v>45.318704132000001</v>
      </c>
      <c r="AY30" s="4">
        <f t="shared" si="23"/>
        <v>11.5135497899941</v>
      </c>
      <c r="AZ30">
        <v>42.737344030000003</v>
      </c>
      <c r="BA30" s="4">
        <f t="shared" si="24"/>
        <v>10.857736288052079</v>
      </c>
      <c r="BB30">
        <v>63.68739128</v>
      </c>
      <c r="BC30" s="4">
        <f t="shared" si="25"/>
        <v>16.180249734443489</v>
      </c>
      <c r="BD30">
        <v>61.632730492</v>
      </c>
      <c r="BE30" s="4">
        <f t="shared" si="26"/>
        <v>15.658248063449493</v>
      </c>
      <c r="BF30">
        <v>60.879153264000003</v>
      </c>
      <c r="BG30" s="4">
        <f t="shared" si="27"/>
        <v>15.466796231333728</v>
      </c>
      <c r="BH30">
        <v>54.439282411999997</v>
      </c>
      <c r="BI30" s="4">
        <f t="shared" si="28"/>
        <v>13.830699720725899</v>
      </c>
      <c r="BJ30">
        <v>54.991679180000013</v>
      </c>
      <c r="BK30" s="4">
        <f t="shared" si="29"/>
        <v>13.97104017868946</v>
      </c>
      <c r="BL30">
        <v>55.042442799</v>
      </c>
      <c r="BM30" s="4">
        <f t="shared" si="30"/>
        <v>13.983937049111312</v>
      </c>
      <c r="BN30">
        <v>67.487653730000005</v>
      </c>
      <c r="BO30" s="4">
        <f t="shared" si="31"/>
        <v>17.145734334481389</v>
      </c>
      <c r="BP30">
        <v>67.616189955999999</v>
      </c>
      <c r="BQ30" s="4">
        <f t="shared" si="32"/>
        <v>17.178389907190581</v>
      </c>
      <c r="BR30">
        <v>56.335670956999998</v>
      </c>
      <c r="BS30" s="4">
        <f t="shared" si="33"/>
        <v>14.312491165389353</v>
      </c>
      <c r="BT30">
        <v>64.737457272</v>
      </c>
      <c r="BU30" s="4">
        <f t="shared" si="34"/>
        <v>16.447026715675278</v>
      </c>
      <c r="BV30">
        <v>58.883055683999999</v>
      </c>
      <c r="BW30" s="4">
        <f t="shared" si="35"/>
        <v>14.959672973659004</v>
      </c>
      <c r="BX30">
        <v>43.168692585000002</v>
      </c>
      <c r="BY30" s="4">
        <f t="shared" si="36"/>
        <v>10.967323558031579</v>
      </c>
      <c r="BZ30">
        <v>49.814291965999999</v>
      </c>
      <c r="CA30" s="4">
        <f t="shared" si="37"/>
        <v>12.655686913140618</v>
      </c>
      <c r="CB30">
        <v>49.623658651</v>
      </c>
      <c r="CC30" s="4">
        <f t="shared" si="38"/>
        <v>12.607255118676877</v>
      </c>
      <c r="CD30">
        <v>56.296435826</v>
      </c>
      <c r="CE30" s="4">
        <f t="shared" si="39"/>
        <v>14.3025231920561</v>
      </c>
    </row>
    <row r="31" spans="1:83" x14ac:dyDescent="0.2">
      <c r="A31" s="2">
        <v>42033</v>
      </c>
      <c r="B31">
        <v>2017</v>
      </c>
      <c r="C31">
        <v>5</v>
      </c>
      <c r="D31">
        <v>265.367636221</v>
      </c>
      <c r="E31" s="4">
        <f t="shared" si="0"/>
        <v>128.60070763712983</v>
      </c>
      <c r="F31">
        <v>270.55025908200003</v>
      </c>
      <c r="G31" s="4">
        <f t="shared" si="1"/>
        <v>131.11227602893595</v>
      </c>
      <c r="H31">
        <v>296.09973527</v>
      </c>
      <c r="I31" s="4">
        <f t="shared" si="2"/>
        <v>143.49389409029763</v>
      </c>
      <c r="J31">
        <v>269.85838365699999</v>
      </c>
      <c r="K31" s="4">
        <f t="shared" si="3"/>
        <v>130.7769839393699</v>
      </c>
      <c r="L31">
        <v>281.47828626199998</v>
      </c>
      <c r="M31" s="4">
        <f t="shared" si="4"/>
        <v>136.40814423818281</v>
      </c>
      <c r="N31">
        <v>271.836809641</v>
      </c>
      <c r="O31" s="4">
        <f t="shared" si="5"/>
        <v>131.73575564632438</v>
      </c>
      <c r="P31">
        <v>248.35322859600001</v>
      </c>
      <c r="Q31" s="4">
        <f t="shared" si="6"/>
        <v>120.35529801687251</v>
      </c>
      <c r="R31">
        <v>251.14989853899999</v>
      </c>
      <c r="S31" s="4">
        <f t="shared" si="7"/>
        <v>121.71060169602112</v>
      </c>
      <c r="T31">
        <v>242.04222966</v>
      </c>
      <c r="U31" s="4">
        <f t="shared" si="8"/>
        <v>117.29690347930023</v>
      </c>
      <c r="V31">
        <v>239.79274082699999</v>
      </c>
      <c r="W31" s="4">
        <f t="shared" si="9"/>
        <v>116.20677108838311</v>
      </c>
      <c r="X31">
        <v>244.154136666</v>
      </c>
      <c r="Y31" s="4">
        <f t="shared" si="10"/>
        <v>118.32036187574623</v>
      </c>
      <c r="Z31">
        <v>224.823246958</v>
      </c>
      <c r="AA31" s="4">
        <f t="shared" si="11"/>
        <v>108.95235403912451</v>
      </c>
      <c r="AB31">
        <v>221.09176924299999</v>
      </c>
      <c r="AC31" s="4">
        <f t="shared" si="12"/>
        <v>107.14403000415612</v>
      </c>
      <c r="AD31">
        <v>248.88358308900001</v>
      </c>
      <c r="AE31" s="4">
        <f t="shared" si="13"/>
        <v>120.61231490133362</v>
      </c>
      <c r="AF31">
        <v>235.60518550099999</v>
      </c>
      <c r="AG31" s="4">
        <f t="shared" si="14"/>
        <v>114.17742573993698</v>
      </c>
      <c r="AH31">
        <v>232.528373026</v>
      </c>
      <c r="AI31" s="4">
        <f t="shared" si="15"/>
        <v>112.68636124094049</v>
      </c>
      <c r="AJ31">
        <v>243.91497657799999</v>
      </c>
      <c r="AK31" s="4">
        <f t="shared" si="16"/>
        <v>118.20446169668391</v>
      </c>
      <c r="AL31">
        <v>250.53351352600001</v>
      </c>
      <c r="AM31" s="4">
        <f t="shared" si="17"/>
        <v>121.41189327031579</v>
      </c>
      <c r="AN31">
        <v>257.08813666200001</v>
      </c>
      <c r="AO31" s="4">
        <f t="shared" si="18"/>
        <v>124.5883513553639</v>
      </c>
      <c r="AP31">
        <v>261.73290776699997</v>
      </c>
      <c r="AQ31" s="4">
        <f t="shared" si="19"/>
        <v>126.83926958873143</v>
      </c>
      <c r="AR31">
        <v>266.299283043</v>
      </c>
      <c r="AS31" s="4">
        <f t="shared" si="20"/>
        <v>129.05219615428007</v>
      </c>
      <c r="AT31">
        <v>278.76526499200003</v>
      </c>
      <c r="AU31" s="4">
        <f t="shared" si="21"/>
        <v>135.0933778253486</v>
      </c>
      <c r="AV31">
        <v>250.78951358399999</v>
      </c>
      <c r="AW31" s="4">
        <f t="shared" si="22"/>
        <v>121.53595432419097</v>
      </c>
      <c r="AX31">
        <v>261.95294665599999</v>
      </c>
      <c r="AY31" s="4">
        <f t="shared" si="23"/>
        <v>126.94590337888029</v>
      </c>
      <c r="AZ31">
        <v>274.75403261899999</v>
      </c>
      <c r="BA31" s="4">
        <f t="shared" si="24"/>
        <v>133.14948093946322</v>
      </c>
      <c r="BB31">
        <v>247.881491684</v>
      </c>
      <c r="BC31" s="4">
        <f t="shared" si="25"/>
        <v>120.12668799657888</v>
      </c>
      <c r="BD31">
        <v>258.48857973600002</v>
      </c>
      <c r="BE31" s="4">
        <f t="shared" si="26"/>
        <v>125.26702480962014</v>
      </c>
      <c r="BF31">
        <v>258.33251713599998</v>
      </c>
      <c r="BG31" s="4">
        <f t="shared" si="27"/>
        <v>125.19139478524527</v>
      </c>
      <c r="BH31">
        <v>259.66193106100002</v>
      </c>
      <c r="BI31" s="4">
        <f t="shared" si="28"/>
        <v>125.83564656339081</v>
      </c>
      <c r="BJ31">
        <v>267.86864136899999</v>
      </c>
      <c r="BK31" s="4">
        <f t="shared" si="29"/>
        <v>129.8127282000633</v>
      </c>
      <c r="BL31">
        <v>272.48730421900001</v>
      </c>
      <c r="BM31" s="4">
        <f t="shared" si="30"/>
        <v>132.05099402367966</v>
      </c>
      <c r="BN31">
        <v>276.995135318</v>
      </c>
      <c r="BO31" s="4">
        <f t="shared" si="31"/>
        <v>134.23554929762147</v>
      </c>
      <c r="BP31">
        <v>279.06714868400002</v>
      </c>
      <c r="BQ31" s="4">
        <f t="shared" si="32"/>
        <v>135.23967470227061</v>
      </c>
      <c r="BR31">
        <v>275.05741310500002</v>
      </c>
      <c r="BS31" s="4">
        <f t="shared" si="33"/>
        <v>133.2965031827876</v>
      </c>
      <c r="BT31">
        <v>251.25004291799999</v>
      </c>
      <c r="BU31" s="4">
        <f t="shared" si="34"/>
        <v>121.75913300220705</v>
      </c>
      <c r="BV31">
        <v>249.027453404</v>
      </c>
      <c r="BW31" s="4">
        <f t="shared" si="35"/>
        <v>120.68203638124147</v>
      </c>
      <c r="BX31">
        <v>235.613063848</v>
      </c>
      <c r="BY31" s="4">
        <f t="shared" si="36"/>
        <v>114.18124369232046</v>
      </c>
      <c r="BZ31">
        <v>268.818577742</v>
      </c>
      <c r="CA31" s="4">
        <f t="shared" si="37"/>
        <v>130.27308007837718</v>
      </c>
      <c r="CB31">
        <v>293.23024651399999</v>
      </c>
      <c r="CC31" s="4">
        <f t="shared" si="38"/>
        <v>142.10330143991482</v>
      </c>
      <c r="CD31">
        <v>298.00943374299999</v>
      </c>
      <c r="CE31" s="4">
        <f t="shared" si="39"/>
        <v>144.41935952571652</v>
      </c>
    </row>
    <row r="32" spans="1:83" x14ac:dyDescent="0.2">
      <c r="A32" s="2">
        <v>42034</v>
      </c>
      <c r="B32">
        <v>2017</v>
      </c>
      <c r="C32">
        <v>6</v>
      </c>
      <c r="D32">
        <v>128.033479693</v>
      </c>
      <c r="E32" s="4">
        <f t="shared" si="0"/>
        <v>184.70181702680384</v>
      </c>
      <c r="F32">
        <v>113.794266702</v>
      </c>
      <c r="G32" s="4">
        <f t="shared" si="1"/>
        <v>164.16024837791895</v>
      </c>
      <c r="H32">
        <v>115.492661001</v>
      </c>
      <c r="I32" s="4">
        <f t="shared" si="2"/>
        <v>166.61036153430155</v>
      </c>
      <c r="J32">
        <v>145.42553329500001</v>
      </c>
      <c r="K32" s="4">
        <f t="shared" si="3"/>
        <v>209.79169125204211</v>
      </c>
      <c r="L32">
        <v>136.889587877</v>
      </c>
      <c r="M32" s="4">
        <f t="shared" si="4"/>
        <v>197.47768844178793</v>
      </c>
      <c r="N32">
        <v>142.82707928799999</v>
      </c>
      <c r="O32" s="4">
        <f t="shared" si="5"/>
        <v>206.04314690485819</v>
      </c>
      <c r="P32">
        <v>117.128352875</v>
      </c>
      <c r="Q32" s="4">
        <f t="shared" si="6"/>
        <v>168.97001982015141</v>
      </c>
      <c r="R32">
        <v>132.76436926299999</v>
      </c>
      <c r="S32" s="4">
        <f t="shared" si="7"/>
        <v>191.52662489602187</v>
      </c>
      <c r="T32">
        <v>130.06708644700001</v>
      </c>
      <c r="U32" s="4">
        <f t="shared" si="8"/>
        <v>187.6355095538087</v>
      </c>
      <c r="V32">
        <v>125.213076114</v>
      </c>
      <c r="W32" s="4">
        <f t="shared" si="9"/>
        <v>180.63308698026211</v>
      </c>
      <c r="X32">
        <v>144.36487888799999</v>
      </c>
      <c r="Y32" s="4">
        <f t="shared" si="10"/>
        <v>208.2615852463307</v>
      </c>
      <c r="Z32">
        <v>137.61327100099999</v>
      </c>
      <c r="AA32" s="4">
        <f t="shared" si="11"/>
        <v>198.52167778172415</v>
      </c>
      <c r="AB32">
        <v>139.209599021</v>
      </c>
      <c r="AC32" s="4">
        <f t="shared" si="12"/>
        <v>200.82454955066916</v>
      </c>
      <c r="AD32">
        <v>125.367671488</v>
      </c>
      <c r="AE32" s="4">
        <f t="shared" si="13"/>
        <v>180.8561071352263</v>
      </c>
      <c r="AF32">
        <v>124.549314743</v>
      </c>
      <c r="AG32" s="4">
        <f t="shared" si="14"/>
        <v>179.67554109781111</v>
      </c>
      <c r="AH32">
        <v>135.67384076600001</v>
      </c>
      <c r="AI32" s="4">
        <f t="shared" si="15"/>
        <v>195.72384483006064</v>
      </c>
      <c r="AJ32">
        <v>115.77086973199999</v>
      </c>
      <c r="AK32" s="4">
        <f t="shared" si="16"/>
        <v>167.01170701246579</v>
      </c>
      <c r="AL32">
        <v>114.00937653</v>
      </c>
      <c r="AM32" s="4">
        <f t="shared" si="17"/>
        <v>164.47056702416046</v>
      </c>
      <c r="AN32">
        <v>121.648431308</v>
      </c>
      <c r="AO32" s="4">
        <f t="shared" si="18"/>
        <v>175.4907103589122</v>
      </c>
      <c r="AP32">
        <v>118.99893807700001</v>
      </c>
      <c r="AQ32" s="4">
        <f t="shared" si="19"/>
        <v>171.66853654047563</v>
      </c>
      <c r="AR32">
        <v>116.76049280300001</v>
      </c>
      <c r="AS32" s="4">
        <f t="shared" si="20"/>
        <v>168.43934281384861</v>
      </c>
      <c r="AT32">
        <v>142.41308783100001</v>
      </c>
      <c r="AU32" s="4">
        <f t="shared" si="21"/>
        <v>205.44592050341367</v>
      </c>
      <c r="AV32">
        <v>141.71997095200001</v>
      </c>
      <c r="AW32" s="4">
        <f t="shared" si="22"/>
        <v>204.4460262002188</v>
      </c>
      <c r="AX32">
        <v>122.95303582699999</v>
      </c>
      <c r="AY32" s="4">
        <f t="shared" si="23"/>
        <v>177.37274016657238</v>
      </c>
      <c r="AZ32">
        <v>131.38685323300001</v>
      </c>
      <c r="BA32" s="4">
        <f t="shared" si="24"/>
        <v>189.53941253301633</v>
      </c>
      <c r="BB32">
        <v>138.994872101</v>
      </c>
      <c r="BC32" s="4">
        <f t="shared" si="25"/>
        <v>200.51478328965939</v>
      </c>
      <c r="BD32">
        <v>133.64301394099999</v>
      </c>
      <c r="BE32" s="4">
        <f t="shared" si="26"/>
        <v>192.79416264424728</v>
      </c>
      <c r="BF32">
        <v>145.17194175</v>
      </c>
      <c r="BG32" s="4">
        <f t="shared" si="27"/>
        <v>209.42585866468727</v>
      </c>
      <c r="BH32">
        <v>143.825162181</v>
      </c>
      <c r="BI32" s="4">
        <f t="shared" si="28"/>
        <v>207.48298689298085</v>
      </c>
      <c r="BJ32">
        <v>138.37590432100001</v>
      </c>
      <c r="BK32" s="4">
        <f t="shared" si="29"/>
        <v>199.6218568932108</v>
      </c>
      <c r="BL32">
        <v>150.68681383800001</v>
      </c>
      <c r="BM32" s="4">
        <f t="shared" si="30"/>
        <v>217.38164411835479</v>
      </c>
      <c r="BN32">
        <v>144.66169690199999</v>
      </c>
      <c r="BO32" s="4">
        <f t="shared" si="31"/>
        <v>208.68977658068746</v>
      </c>
      <c r="BP32">
        <v>138.94473694199999</v>
      </c>
      <c r="BQ32" s="4">
        <f t="shared" si="32"/>
        <v>200.44245802765423</v>
      </c>
      <c r="BR32">
        <v>154.56776190599999</v>
      </c>
      <c r="BS32" s="4">
        <f t="shared" si="33"/>
        <v>222.98032160228362</v>
      </c>
      <c r="BT32">
        <v>130.03650640999999</v>
      </c>
      <c r="BU32" s="4">
        <f t="shared" si="34"/>
        <v>187.59139462065062</v>
      </c>
      <c r="BV32">
        <v>131.85263061500001</v>
      </c>
      <c r="BW32" s="4">
        <f t="shared" si="35"/>
        <v>190.21134560077073</v>
      </c>
      <c r="BX32">
        <v>138.43325472399999</v>
      </c>
      <c r="BY32" s="4">
        <f t="shared" si="36"/>
        <v>199.7045909067416</v>
      </c>
      <c r="BZ32">
        <v>138.850740433</v>
      </c>
      <c r="CA32" s="4">
        <f t="shared" si="37"/>
        <v>200.30685813575016</v>
      </c>
      <c r="CB32">
        <v>144.844064707</v>
      </c>
      <c r="CC32" s="4">
        <f t="shared" si="38"/>
        <v>208.95286140062254</v>
      </c>
      <c r="CD32">
        <v>137.036082741</v>
      </c>
      <c r="CE32" s="4">
        <f t="shared" si="39"/>
        <v>197.68902275552193</v>
      </c>
    </row>
    <row r="33" spans="1:83" x14ac:dyDescent="0.2">
      <c r="A33" s="2">
        <v>42035</v>
      </c>
      <c r="B33">
        <v>2017</v>
      </c>
      <c r="C33">
        <v>7</v>
      </c>
      <c r="D33">
        <v>401.04623294200002</v>
      </c>
      <c r="E33" s="4">
        <f t="shared" si="0"/>
        <v>326.68729136934587</v>
      </c>
      <c r="F33">
        <v>380.84139086499999</v>
      </c>
      <c r="G33" s="4">
        <f t="shared" si="1"/>
        <v>310.22867740292287</v>
      </c>
      <c r="H33">
        <v>385.92835475099997</v>
      </c>
      <c r="I33" s="4">
        <f t="shared" si="2"/>
        <v>314.3724551440078</v>
      </c>
      <c r="J33">
        <v>405.07649754300002</v>
      </c>
      <c r="K33" s="4">
        <f t="shared" si="3"/>
        <v>329.97029496806778</v>
      </c>
      <c r="L33">
        <v>434.13359642699999</v>
      </c>
      <c r="M33" s="4">
        <f t="shared" si="4"/>
        <v>353.63984762744417</v>
      </c>
      <c r="N33">
        <v>390.70800163000001</v>
      </c>
      <c r="O33" s="4">
        <f t="shared" si="5"/>
        <v>318.26589625963175</v>
      </c>
      <c r="P33">
        <v>346.06615685899999</v>
      </c>
      <c r="Q33" s="4">
        <f t="shared" si="6"/>
        <v>281.90120273543658</v>
      </c>
      <c r="R33">
        <v>389.93071056899998</v>
      </c>
      <c r="S33" s="4">
        <f t="shared" si="7"/>
        <v>317.63272459395887</v>
      </c>
      <c r="T33">
        <v>345.31782055000002</v>
      </c>
      <c r="U33" s="4">
        <f t="shared" si="8"/>
        <v>281.29161725191983</v>
      </c>
      <c r="V33">
        <v>326.49058077900003</v>
      </c>
      <c r="W33" s="4">
        <f t="shared" si="9"/>
        <v>265.95518105195998</v>
      </c>
      <c r="X33">
        <v>377.06538822200002</v>
      </c>
      <c r="Y33" s="4">
        <f t="shared" si="10"/>
        <v>307.15279244423397</v>
      </c>
      <c r="Z33">
        <v>311.31501723000002</v>
      </c>
      <c r="AA33" s="4">
        <f t="shared" si="11"/>
        <v>253.5933550488638</v>
      </c>
      <c r="AB33">
        <v>273.03638363499999</v>
      </c>
      <c r="AC33" s="4">
        <f t="shared" si="12"/>
        <v>222.41205449223017</v>
      </c>
      <c r="AD33">
        <v>368.20139502900003</v>
      </c>
      <c r="AE33" s="4">
        <f t="shared" si="13"/>
        <v>299.93229343668867</v>
      </c>
      <c r="AF33">
        <v>278.36655854000003</v>
      </c>
      <c r="AG33" s="4">
        <f t="shared" si="14"/>
        <v>226.75394891538798</v>
      </c>
      <c r="AH33">
        <v>255.943944079</v>
      </c>
      <c r="AI33" s="4">
        <f t="shared" si="15"/>
        <v>208.48876504881218</v>
      </c>
      <c r="AJ33">
        <v>350.90512274700001</v>
      </c>
      <c r="AK33" s="4">
        <f t="shared" si="16"/>
        <v>285.84296438067815</v>
      </c>
      <c r="AL33">
        <v>277.20633198899998</v>
      </c>
      <c r="AM33" s="4">
        <f t="shared" si="17"/>
        <v>225.80884274510808</v>
      </c>
      <c r="AN33">
        <v>279.113425011</v>
      </c>
      <c r="AO33" s="4">
        <f t="shared" si="18"/>
        <v>227.36233708708502</v>
      </c>
      <c r="AP33">
        <v>355.34081601700001</v>
      </c>
      <c r="AQ33" s="4">
        <f t="shared" si="19"/>
        <v>289.4562251488727</v>
      </c>
      <c r="AR33">
        <v>305.10805270200001</v>
      </c>
      <c r="AS33" s="4">
        <f t="shared" si="20"/>
        <v>248.53723866446882</v>
      </c>
      <c r="AT33">
        <v>334.89158942900002</v>
      </c>
      <c r="AU33" s="4">
        <f t="shared" si="21"/>
        <v>272.79853858833627</v>
      </c>
      <c r="AV33">
        <v>297.61590170400001</v>
      </c>
      <c r="AW33" s="4">
        <f t="shared" si="22"/>
        <v>242.43422530834852</v>
      </c>
      <c r="AX33">
        <v>292.697565091</v>
      </c>
      <c r="AY33" s="4">
        <f t="shared" si="23"/>
        <v>238.4278092541276</v>
      </c>
      <c r="AZ33">
        <v>325.69992948599997</v>
      </c>
      <c r="BA33" s="4">
        <f t="shared" si="24"/>
        <v>265.31112630686727</v>
      </c>
      <c r="BB33">
        <v>351.75834870599999</v>
      </c>
      <c r="BC33" s="4">
        <f t="shared" si="25"/>
        <v>286.53799167323479</v>
      </c>
      <c r="BD33">
        <v>348.20695187299998</v>
      </c>
      <c r="BE33" s="4">
        <f t="shared" si="26"/>
        <v>283.64506782393329</v>
      </c>
      <c r="BF33">
        <v>382.05996155999998</v>
      </c>
      <c r="BG33" s="4">
        <f t="shared" si="27"/>
        <v>311.22130998987251</v>
      </c>
      <c r="BH33">
        <v>381.31355619599998</v>
      </c>
      <c r="BI33" s="4">
        <f t="shared" si="28"/>
        <v>310.61329743022333</v>
      </c>
      <c r="BJ33">
        <v>348.21603056700002</v>
      </c>
      <c r="BK33" s="4">
        <f t="shared" si="29"/>
        <v>283.65246321555753</v>
      </c>
      <c r="BL33">
        <v>375.30097853199999</v>
      </c>
      <c r="BM33" s="4">
        <f t="shared" si="30"/>
        <v>305.71552617629396</v>
      </c>
      <c r="BN33">
        <v>367.74713397699998</v>
      </c>
      <c r="BO33" s="4">
        <f t="shared" si="31"/>
        <v>299.56225801318192</v>
      </c>
      <c r="BP33">
        <v>366.14412044900001</v>
      </c>
      <c r="BQ33" s="4">
        <f t="shared" si="32"/>
        <v>298.25646305869731</v>
      </c>
      <c r="BR33">
        <v>349.611721741</v>
      </c>
      <c r="BS33" s="4">
        <f t="shared" si="33"/>
        <v>284.78937594972626</v>
      </c>
      <c r="BT33">
        <v>334.47855830899999</v>
      </c>
      <c r="BU33" s="4">
        <f t="shared" si="34"/>
        <v>272.46208855649274</v>
      </c>
      <c r="BV33">
        <v>326.65466760599998</v>
      </c>
      <c r="BW33" s="4">
        <f t="shared" si="35"/>
        <v>266.08884414778004</v>
      </c>
      <c r="BX33">
        <v>303.89233746500003</v>
      </c>
      <c r="BY33" s="4">
        <f t="shared" si="36"/>
        <v>247.54693209821963</v>
      </c>
      <c r="BZ33">
        <v>329.90208221699999</v>
      </c>
      <c r="CA33" s="4">
        <f t="shared" si="37"/>
        <v>268.73414784615505</v>
      </c>
      <c r="CB33">
        <v>337.83071794099999</v>
      </c>
      <c r="CC33" s="4">
        <f t="shared" si="38"/>
        <v>275.19271625091648</v>
      </c>
      <c r="CD33">
        <v>347.71261263600002</v>
      </c>
      <c r="CE33" s="4">
        <f t="shared" si="39"/>
        <v>283.2423852075965</v>
      </c>
    </row>
    <row r="34" spans="1:83" x14ac:dyDescent="0.2">
      <c r="A34" s="2">
        <v>42036</v>
      </c>
      <c r="B34">
        <v>2017</v>
      </c>
      <c r="C34">
        <v>8</v>
      </c>
      <c r="D34">
        <v>426.49985694499998</v>
      </c>
      <c r="E34" s="4">
        <f t="shared" si="0"/>
        <v>383.06294626189981</v>
      </c>
      <c r="F34">
        <v>428.83163261999999</v>
      </c>
      <c r="G34" s="4">
        <f t="shared" si="1"/>
        <v>385.15724206421356</v>
      </c>
      <c r="H34">
        <v>403.15328742399998</v>
      </c>
      <c r="I34" s="4">
        <f t="shared" si="2"/>
        <v>362.09410990663741</v>
      </c>
      <c r="J34">
        <v>431.19652507500001</v>
      </c>
      <c r="K34" s="4">
        <f t="shared" si="3"/>
        <v>387.2812818655251</v>
      </c>
      <c r="L34">
        <v>428.14881943400002</v>
      </c>
      <c r="M34" s="4">
        <f t="shared" si="4"/>
        <v>384.54397003957757</v>
      </c>
      <c r="N34">
        <v>414.43074750199997</v>
      </c>
      <c r="O34" s="4">
        <f t="shared" si="5"/>
        <v>372.22301619695469</v>
      </c>
      <c r="P34">
        <v>386.42508122999999</v>
      </c>
      <c r="Q34" s="4">
        <f t="shared" si="6"/>
        <v>347.06958915708753</v>
      </c>
      <c r="R34">
        <v>423.90547799199999</v>
      </c>
      <c r="S34" s="4">
        <f t="shared" si="7"/>
        <v>380.73279203260029</v>
      </c>
      <c r="T34">
        <v>389.05293083599997</v>
      </c>
      <c r="U34" s="4">
        <f t="shared" si="8"/>
        <v>349.42980521816196</v>
      </c>
      <c r="V34">
        <v>401.10434819199997</v>
      </c>
      <c r="W34" s="4">
        <f t="shared" si="9"/>
        <v>360.25384504806624</v>
      </c>
      <c r="X34">
        <v>430.62624693499998</v>
      </c>
      <c r="Y34" s="4">
        <f t="shared" si="10"/>
        <v>386.76908374648718</v>
      </c>
      <c r="Z34">
        <v>377.94321349000001</v>
      </c>
      <c r="AA34" s="4">
        <f t="shared" si="11"/>
        <v>339.45155788842254</v>
      </c>
      <c r="AB34">
        <v>382.65465737800002</v>
      </c>
      <c r="AC34" s="4">
        <f t="shared" si="12"/>
        <v>343.68316441183964</v>
      </c>
      <c r="AD34">
        <v>424.24550056999999</v>
      </c>
      <c r="AE34" s="4">
        <f t="shared" si="13"/>
        <v>381.03818498503227</v>
      </c>
      <c r="AF34">
        <v>373.56645964400002</v>
      </c>
      <c r="AG34" s="4">
        <f t="shared" si="14"/>
        <v>335.52055487397593</v>
      </c>
      <c r="AH34">
        <v>384.42815305099998</v>
      </c>
      <c r="AI34" s="4">
        <f t="shared" si="15"/>
        <v>345.27603828182947</v>
      </c>
      <c r="AJ34">
        <v>424.29538249500001</v>
      </c>
      <c r="AK34" s="4">
        <f t="shared" si="16"/>
        <v>381.08298668155004</v>
      </c>
      <c r="AL34">
        <v>386.97562409</v>
      </c>
      <c r="AM34" s="4">
        <f t="shared" si="17"/>
        <v>347.56406193723257</v>
      </c>
      <c r="AN34">
        <v>394.98167752500001</v>
      </c>
      <c r="AO34" s="4">
        <f t="shared" si="18"/>
        <v>354.75473824532992</v>
      </c>
      <c r="AP34">
        <v>398.71994017999998</v>
      </c>
      <c r="AQ34" s="4">
        <f t="shared" si="19"/>
        <v>358.11227725315609</v>
      </c>
      <c r="AR34">
        <v>375.61944389799999</v>
      </c>
      <c r="AS34" s="4">
        <f t="shared" si="20"/>
        <v>337.36445278897082</v>
      </c>
      <c r="AT34">
        <v>468.57907392700002</v>
      </c>
      <c r="AU34" s="4">
        <f t="shared" si="21"/>
        <v>420.85660215894586</v>
      </c>
      <c r="AV34">
        <v>426.455918328</v>
      </c>
      <c r="AW34" s="4">
        <f t="shared" si="22"/>
        <v>383.02348257672242</v>
      </c>
      <c r="AX34">
        <v>420.98510553199998</v>
      </c>
      <c r="AY34" s="4">
        <f t="shared" si="23"/>
        <v>378.10984513005542</v>
      </c>
      <c r="AZ34">
        <v>471.67157266200002</v>
      </c>
      <c r="BA34" s="4">
        <f t="shared" si="24"/>
        <v>423.63414512279513</v>
      </c>
      <c r="BB34">
        <v>459.16071844200002</v>
      </c>
      <c r="BC34" s="4">
        <f t="shared" si="25"/>
        <v>412.39745981158683</v>
      </c>
      <c r="BD34">
        <v>463.86098385299999</v>
      </c>
      <c r="BE34" s="4">
        <f t="shared" si="26"/>
        <v>416.61902633085236</v>
      </c>
      <c r="BF34">
        <v>523.66917708899996</v>
      </c>
      <c r="BG34" s="4">
        <f t="shared" si="27"/>
        <v>470.33604953383463</v>
      </c>
      <c r="BH34">
        <v>520.99756626500005</v>
      </c>
      <c r="BI34" s="4">
        <f t="shared" si="28"/>
        <v>467.93652911936806</v>
      </c>
      <c r="BJ34">
        <v>480.41432191000001</v>
      </c>
      <c r="BK34" s="4">
        <f t="shared" si="29"/>
        <v>431.48648840224382</v>
      </c>
      <c r="BL34">
        <v>526.55681994200006</v>
      </c>
      <c r="BM34" s="4">
        <f t="shared" si="30"/>
        <v>472.92960017871792</v>
      </c>
      <c r="BN34">
        <v>524.805640176</v>
      </c>
      <c r="BO34" s="4">
        <f t="shared" si="31"/>
        <v>471.35676945046583</v>
      </c>
      <c r="BP34">
        <v>511.23351286399998</v>
      </c>
      <c r="BQ34" s="4">
        <f t="shared" si="32"/>
        <v>459.16689648681142</v>
      </c>
      <c r="BR34">
        <v>508.51079941799998</v>
      </c>
      <c r="BS34" s="4">
        <f t="shared" si="33"/>
        <v>456.72147800080677</v>
      </c>
      <c r="BT34">
        <v>417.20921612000001</v>
      </c>
      <c r="BU34" s="4">
        <f t="shared" si="34"/>
        <v>374.71851146518543</v>
      </c>
      <c r="BV34">
        <v>433.77113915000001</v>
      </c>
      <c r="BW34" s="4">
        <f t="shared" si="35"/>
        <v>389.59368417234236</v>
      </c>
      <c r="BX34">
        <v>432.33634235099998</v>
      </c>
      <c r="BY34" s="4">
        <f t="shared" si="36"/>
        <v>388.30501436351994</v>
      </c>
      <c r="BZ34">
        <v>477.14269829800003</v>
      </c>
      <c r="CA34" s="4">
        <f t="shared" si="37"/>
        <v>428.54806354824831</v>
      </c>
      <c r="CB34">
        <v>493.695056432</v>
      </c>
      <c r="CC34" s="4">
        <f t="shared" si="38"/>
        <v>443.41464549697287</v>
      </c>
      <c r="CD34">
        <v>488.33982084600001</v>
      </c>
      <c r="CE34" s="4">
        <f t="shared" si="39"/>
        <v>438.60481429047786</v>
      </c>
    </row>
    <row r="35" spans="1:83" x14ac:dyDescent="0.2">
      <c r="A35" s="2">
        <v>42037</v>
      </c>
      <c r="B35">
        <v>2017</v>
      </c>
      <c r="C35">
        <v>9</v>
      </c>
      <c r="D35">
        <v>359.44989346300002</v>
      </c>
      <c r="E35" s="4">
        <f t="shared" si="0"/>
        <v>338.01720940593282</v>
      </c>
      <c r="F35">
        <v>339.203002449</v>
      </c>
      <c r="G35" s="4">
        <f t="shared" si="1"/>
        <v>318.97756654009675</v>
      </c>
      <c r="H35">
        <v>349.53775977499998</v>
      </c>
      <c r="I35" s="4">
        <f t="shared" si="2"/>
        <v>328.69610004018142</v>
      </c>
      <c r="J35">
        <v>366.442685611</v>
      </c>
      <c r="K35" s="4">
        <f t="shared" si="3"/>
        <v>344.59304690319999</v>
      </c>
      <c r="L35">
        <v>343.52126887899999</v>
      </c>
      <c r="M35" s="4">
        <f t="shared" si="4"/>
        <v>323.03835051773945</v>
      </c>
      <c r="N35">
        <v>359.37565757599998</v>
      </c>
      <c r="O35" s="4">
        <f t="shared" si="5"/>
        <v>337.94739993368682</v>
      </c>
      <c r="P35">
        <v>346.047305096</v>
      </c>
      <c r="Q35" s="4">
        <f t="shared" si="6"/>
        <v>325.41376842286826</v>
      </c>
      <c r="R35">
        <v>366.17646406799997</v>
      </c>
      <c r="S35" s="4">
        <f t="shared" si="7"/>
        <v>344.34269917828715</v>
      </c>
      <c r="T35">
        <v>348.40047311500001</v>
      </c>
      <c r="U35" s="4">
        <f t="shared" si="8"/>
        <v>327.62662562914687</v>
      </c>
      <c r="V35">
        <v>344.96164320499997</v>
      </c>
      <c r="W35" s="4">
        <f t="shared" si="9"/>
        <v>324.39284058444628</v>
      </c>
      <c r="X35">
        <v>353.13296318200003</v>
      </c>
      <c r="Y35" s="4">
        <f t="shared" si="10"/>
        <v>332.07693460149687</v>
      </c>
      <c r="Z35">
        <v>321.74485731700003</v>
      </c>
      <c r="AA35" s="4">
        <f t="shared" si="11"/>
        <v>302.56038682675842</v>
      </c>
      <c r="AB35">
        <v>303.61821986799998</v>
      </c>
      <c r="AC35" s="4">
        <f t="shared" si="12"/>
        <v>285.51457455124364</v>
      </c>
      <c r="AD35">
        <v>350.66728498100002</v>
      </c>
      <c r="AE35" s="4">
        <f t="shared" si="13"/>
        <v>329.75827578436508</v>
      </c>
      <c r="AF35">
        <v>310.07326889500001</v>
      </c>
      <c r="AG35" s="4">
        <f t="shared" si="14"/>
        <v>291.58473258541102</v>
      </c>
      <c r="AH35">
        <v>294.50551271500001</v>
      </c>
      <c r="AI35" s="4">
        <f t="shared" si="15"/>
        <v>276.94522483655913</v>
      </c>
      <c r="AJ35">
        <v>344.50227928200002</v>
      </c>
      <c r="AK35" s="4">
        <f t="shared" si="16"/>
        <v>323.96086685409324</v>
      </c>
      <c r="AL35">
        <v>303.712206353</v>
      </c>
      <c r="AM35" s="4">
        <f t="shared" si="17"/>
        <v>285.60295696548087</v>
      </c>
      <c r="AN35">
        <v>291.44806910900002</v>
      </c>
      <c r="AO35" s="4">
        <f t="shared" si="18"/>
        <v>274.07008542377611</v>
      </c>
      <c r="AP35">
        <v>342.910795226</v>
      </c>
      <c r="AQ35" s="4">
        <f t="shared" si="19"/>
        <v>322.46427717857421</v>
      </c>
      <c r="AR35">
        <v>303.52753737</v>
      </c>
      <c r="AS35" s="4">
        <f t="shared" si="20"/>
        <v>285.42929911933129</v>
      </c>
      <c r="AT35">
        <v>331.43894959300002</v>
      </c>
      <c r="AU35" s="4">
        <f t="shared" si="21"/>
        <v>311.67645579339012</v>
      </c>
      <c r="AV35">
        <v>314.67650031599999</v>
      </c>
      <c r="AW35" s="4">
        <f t="shared" si="22"/>
        <v>295.91349013263306</v>
      </c>
      <c r="AX35">
        <v>301.66523789799999</v>
      </c>
      <c r="AY35" s="4">
        <f t="shared" si="23"/>
        <v>283.67804176176475</v>
      </c>
      <c r="AZ35">
        <v>312.37314271299999</v>
      </c>
      <c r="BA35" s="4">
        <f t="shared" si="24"/>
        <v>293.74747332920856</v>
      </c>
      <c r="BB35">
        <v>363.56937409099999</v>
      </c>
      <c r="BC35" s="4">
        <f t="shared" si="25"/>
        <v>341.89106045277333</v>
      </c>
      <c r="BD35">
        <v>368.80214498999999</v>
      </c>
      <c r="BE35" s="4">
        <f t="shared" si="26"/>
        <v>346.8118203386644</v>
      </c>
      <c r="BF35">
        <v>380.14988326100001</v>
      </c>
      <c r="BG35" s="4">
        <f t="shared" si="27"/>
        <v>357.48293443047362</v>
      </c>
      <c r="BH35">
        <v>370.14582061800002</v>
      </c>
      <c r="BI35" s="4">
        <f t="shared" si="28"/>
        <v>348.07537749748741</v>
      </c>
      <c r="BJ35">
        <v>362.63689233899998</v>
      </c>
      <c r="BK35" s="4">
        <f t="shared" si="29"/>
        <v>341.01417918123821</v>
      </c>
      <c r="BL35">
        <v>367.99073886600002</v>
      </c>
      <c r="BM35" s="4">
        <f t="shared" si="30"/>
        <v>346.04879539772759</v>
      </c>
      <c r="BN35">
        <v>375.03364657499998</v>
      </c>
      <c r="BO35" s="4">
        <f t="shared" si="31"/>
        <v>352.67176024816717</v>
      </c>
      <c r="BP35">
        <v>364.28044510199999</v>
      </c>
      <c r="BQ35" s="4">
        <f t="shared" si="32"/>
        <v>342.55973289696874</v>
      </c>
      <c r="BR35">
        <v>345.56606294199997</v>
      </c>
      <c r="BS35" s="4">
        <f t="shared" si="33"/>
        <v>324.96122098050733</v>
      </c>
      <c r="BT35">
        <v>342.90069722200002</v>
      </c>
      <c r="BU35" s="4">
        <f t="shared" si="34"/>
        <v>322.45478128166417</v>
      </c>
      <c r="BV35">
        <v>355.31540679800003</v>
      </c>
      <c r="BW35" s="4">
        <f t="shared" si="35"/>
        <v>334.12924707726074</v>
      </c>
      <c r="BX35">
        <v>317.61804628499999</v>
      </c>
      <c r="BY35" s="4">
        <f t="shared" si="36"/>
        <v>298.67964246112996</v>
      </c>
      <c r="BZ35">
        <v>341.83555507699998</v>
      </c>
      <c r="CA35" s="4">
        <f t="shared" si="37"/>
        <v>321.45314967174789</v>
      </c>
      <c r="CB35">
        <v>355.60923100399998</v>
      </c>
      <c r="CC35" s="4">
        <f t="shared" si="38"/>
        <v>334.40555161921282</v>
      </c>
      <c r="CD35">
        <v>352.57675123400003</v>
      </c>
      <c r="CE35" s="4">
        <f t="shared" si="39"/>
        <v>331.55388754008345</v>
      </c>
    </row>
    <row r="36" spans="1:83" x14ac:dyDescent="0.2">
      <c r="A36" s="2">
        <v>42038</v>
      </c>
      <c r="B36">
        <v>2017</v>
      </c>
      <c r="C36">
        <v>10</v>
      </c>
      <c r="D36">
        <v>221.441534512</v>
      </c>
      <c r="E36" s="4">
        <f t="shared" si="0"/>
        <v>150.22291800225219</v>
      </c>
      <c r="F36">
        <v>188.34587691999999</v>
      </c>
      <c r="G36" s="4">
        <f t="shared" si="1"/>
        <v>127.77127509962313</v>
      </c>
      <c r="H36">
        <v>207.74480151500001</v>
      </c>
      <c r="I36" s="4">
        <f t="shared" si="2"/>
        <v>140.93124107072526</v>
      </c>
      <c r="J36">
        <v>219.534902088</v>
      </c>
      <c r="K36" s="4">
        <f t="shared" si="3"/>
        <v>148.92948455977634</v>
      </c>
      <c r="L36">
        <v>243.84358262800001</v>
      </c>
      <c r="M36" s="4">
        <f t="shared" si="4"/>
        <v>165.42016202708535</v>
      </c>
      <c r="N36">
        <v>211.78366231800001</v>
      </c>
      <c r="O36" s="4">
        <f t="shared" si="5"/>
        <v>143.67114917589919</v>
      </c>
      <c r="P36">
        <v>191.242469075</v>
      </c>
      <c r="Q36" s="4">
        <f t="shared" si="6"/>
        <v>129.73628372704914</v>
      </c>
      <c r="R36">
        <v>208.56202697500001</v>
      </c>
      <c r="S36" s="4">
        <f t="shared" si="7"/>
        <v>141.48563568119198</v>
      </c>
      <c r="T36">
        <v>200.00333310299999</v>
      </c>
      <c r="U36" s="4">
        <f t="shared" si="8"/>
        <v>135.67953444289805</v>
      </c>
      <c r="V36">
        <v>182.10019279400001</v>
      </c>
      <c r="W36" s="4">
        <f t="shared" si="9"/>
        <v>123.5342881387275</v>
      </c>
      <c r="X36">
        <v>201.92590331299999</v>
      </c>
      <c r="Y36" s="4">
        <f t="shared" si="10"/>
        <v>136.98377986210937</v>
      </c>
      <c r="Z36">
        <v>178.55357026600001</v>
      </c>
      <c r="AA36" s="4">
        <f t="shared" si="11"/>
        <v>121.12830776841078</v>
      </c>
      <c r="AB36">
        <v>158.36175298500001</v>
      </c>
      <c r="AC36" s="4">
        <f t="shared" si="12"/>
        <v>107.43045420898403</v>
      </c>
      <c r="AD36">
        <v>199.637080669</v>
      </c>
      <c r="AE36" s="4">
        <f t="shared" si="13"/>
        <v>135.43107378495438</v>
      </c>
      <c r="AF36">
        <v>166.65468740599999</v>
      </c>
      <c r="AG36" s="4">
        <f t="shared" si="14"/>
        <v>113.05626785893607</v>
      </c>
      <c r="AH36">
        <v>146.61756874299999</v>
      </c>
      <c r="AI36" s="4">
        <f t="shared" si="15"/>
        <v>99.463359732885621</v>
      </c>
      <c r="AJ36">
        <v>182.68020676699999</v>
      </c>
      <c r="AK36" s="4">
        <f t="shared" si="16"/>
        <v>123.92776171042286</v>
      </c>
      <c r="AL36">
        <v>170.39161873399999</v>
      </c>
      <c r="AM36" s="4">
        <f t="shared" si="17"/>
        <v>115.59135112460848</v>
      </c>
      <c r="AN36">
        <v>147.437042488</v>
      </c>
      <c r="AO36" s="4">
        <f t="shared" si="18"/>
        <v>100.01927954924447</v>
      </c>
      <c r="AP36">
        <v>176.899517782</v>
      </c>
      <c r="AQ36" s="4">
        <f t="shared" si="19"/>
        <v>120.00622111369655</v>
      </c>
      <c r="AR36">
        <v>180.01878142199999</v>
      </c>
      <c r="AS36" s="4">
        <f t="shared" si="20"/>
        <v>122.12228704076739</v>
      </c>
      <c r="AT36">
        <v>159.644008509</v>
      </c>
      <c r="AU36" s="4">
        <f t="shared" si="21"/>
        <v>108.30031887490715</v>
      </c>
      <c r="AV36">
        <v>155.47322058899999</v>
      </c>
      <c r="AW36" s="4">
        <f t="shared" si="22"/>
        <v>105.47091321218134</v>
      </c>
      <c r="AX36">
        <v>149.769959691</v>
      </c>
      <c r="AY36" s="4">
        <f t="shared" si="23"/>
        <v>101.60189877406438</v>
      </c>
      <c r="AZ36">
        <v>145.78051435099999</v>
      </c>
      <c r="BA36" s="4">
        <f t="shared" si="24"/>
        <v>98.895513445286724</v>
      </c>
      <c r="BB36">
        <v>165.61505841799999</v>
      </c>
      <c r="BC36" s="4">
        <f t="shared" si="25"/>
        <v>112.35099772720011</v>
      </c>
      <c r="BD36">
        <v>168.07859277599999</v>
      </c>
      <c r="BE36" s="4">
        <f t="shared" si="26"/>
        <v>114.0222258492104</v>
      </c>
      <c r="BF36">
        <v>159.24693273299999</v>
      </c>
      <c r="BG36" s="4">
        <f t="shared" si="27"/>
        <v>108.03094808197898</v>
      </c>
      <c r="BH36">
        <v>155.069956066</v>
      </c>
      <c r="BI36" s="4">
        <f t="shared" si="28"/>
        <v>105.19734405766232</v>
      </c>
      <c r="BJ36">
        <v>164.00500488899999</v>
      </c>
      <c r="BK36" s="4">
        <f t="shared" si="29"/>
        <v>111.25875936370062</v>
      </c>
      <c r="BL36">
        <v>162.55878235700001</v>
      </c>
      <c r="BM36" s="4">
        <f t="shared" si="30"/>
        <v>110.27766171498527</v>
      </c>
      <c r="BN36">
        <v>160.43768737900001</v>
      </c>
      <c r="BO36" s="4">
        <f t="shared" si="31"/>
        <v>108.83873979973899</v>
      </c>
      <c r="BP36">
        <v>162.73670458800001</v>
      </c>
      <c r="BQ36" s="4">
        <f t="shared" si="32"/>
        <v>110.39836173080296</v>
      </c>
      <c r="BR36">
        <v>161.940681931</v>
      </c>
      <c r="BS36" s="4">
        <f t="shared" si="33"/>
        <v>109.85835081282421</v>
      </c>
      <c r="BT36">
        <v>180.61578629799999</v>
      </c>
      <c r="BU36" s="4">
        <f t="shared" si="34"/>
        <v>122.52728700941344</v>
      </c>
      <c r="BV36">
        <v>181.82702255000001</v>
      </c>
      <c r="BW36" s="4">
        <f t="shared" si="35"/>
        <v>123.34897316944904</v>
      </c>
      <c r="BX36">
        <v>166.65690277900001</v>
      </c>
      <c r="BY36" s="4">
        <f t="shared" si="36"/>
        <v>113.05777073777611</v>
      </c>
      <c r="BZ36">
        <v>153.155733578</v>
      </c>
      <c r="CA36" s="4">
        <f t="shared" si="37"/>
        <v>103.89876161924758</v>
      </c>
      <c r="CB36">
        <v>150.51024269800001</v>
      </c>
      <c r="CC36" s="4">
        <f t="shared" si="38"/>
        <v>102.1040966734065</v>
      </c>
      <c r="CD36">
        <v>152.563330409</v>
      </c>
      <c r="CE36" s="4">
        <f t="shared" si="39"/>
        <v>103.49688338589323</v>
      </c>
    </row>
    <row r="37" spans="1:83" x14ac:dyDescent="0.2">
      <c r="A37" s="2">
        <v>42039</v>
      </c>
      <c r="B37">
        <v>2017</v>
      </c>
      <c r="C37">
        <v>11</v>
      </c>
      <c r="D37">
        <v>252.30726718899999</v>
      </c>
      <c r="E37" s="4">
        <f t="shared" si="0"/>
        <v>360.01018205676627</v>
      </c>
      <c r="F37">
        <v>226.18980264800001</v>
      </c>
      <c r="G37" s="4">
        <f t="shared" si="1"/>
        <v>322.74390245641212</v>
      </c>
      <c r="H37">
        <v>273.67553854599998</v>
      </c>
      <c r="I37" s="4">
        <f t="shared" si="2"/>
        <v>390.49997074648081</v>
      </c>
      <c r="J37">
        <v>228.95056343100001</v>
      </c>
      <c r="K37" s="4">
        <f t="shared" si="3"/>
        <v>326.6831547941519</v>
      </c>
      <c r="L37">
        <v>361.90945815100002</v>
      </c>
      <c r="M37" s="4">
        <f t="shared" si="4"/>
        <v>516.39848256692437</v>
      </c>
      <c r="N37">
        <v>215.71838284399999</v>
      </c>
      <c r="O37" s="4">
        <f t="shared" si="5"/>
        <v>307.80252644282723</v>
      </c>
      <c r="P37">
        <v>194.66378425900001</v>
      </c>
      <c r="Q37" s="4">
        <f t="shared" si="6"/>
        <v>277.76030865747902</v>
      </c>
      <c r="R37">
        <v>208.23969555100001</v>
      </c>
      <c r="S37" s="4">
        <f t="shared" si="7"/>
        <v>297.13139673699237</v>
      </c>
      <c r="T37">
        <v>209.31617784100001</v>
      </c>
      <c r="U37" s="4">
        <f t="shared" si="8"/>
        <v>298.66739920541704</v>
      </c>
      <c r="V37">
        <v>193.29020713700001</v>
      </c>
      <c r="W37" s="4">
        <f t="shared" si="9"/>
        <v>275.80038988355881</v>
      </c>
      <c r="X37">
        <v>195.99720669999999</v>
      </c>
      <c r="Y37" s="4">
        <f t="shared" si="10"/>
        <v>279.66293184028012</v>
      </c>
      <c r="Z37">
        <v>199.415544031</v>
      </c>
      <c r="AA37" s="4">
        <f t="shared" si="11"/>
        <v>284.54046176074371</v>
      </c>
      <c r="AB37">
        <v>200.038370606</v>
      </c>
      <c r="AC37" s="4">
        <f t="shared" si="12"/>
        <v>285.42915557901404</v>
      </c>
      <c r="AD37">
        <v>204.59331369700001</v>
      </c>
      <c r="AE37" s="4">
        <f t="shared" si="13"/>
        <v>291.92847646548199</v>
      </c>
      <c r="AF37">
        <v>181.433636646</v>
      </c>
      <c r="AG37" s="4">
        <f t="shared" si="14"/>
        <v>258.88258109988897</v>
      </c>
      <c r="AH37">
        <v>139.52009106099999</v>
      </c>
      <c r="AI37" s="4">
        <f t="shared" si="15"/>
        <v>199.0773153030967</v>
      </c>
      <c r="AJ37">
        <v>209.277863962</v>
      </c>
      <c r="AK37" s="4">
        <f t="shared" si="16"/>
        <v>298.61273020318112</v>
      </c>
      <c r="AL37">
        <v>187.79599691000001</v>
      </c>
      <c r="AM37" s="4">
        <f t="shared" si="17"/>
        <v>267.96085499375022</v>
      </c>
      <c r="AN37">
        <v>132.610935208</v>
      </c>
      <c r="AO37" s="4">
        <f t="shared" si="18"/>
        <v>189.21883407816296</v>
      </c>
      <c r="AP37">
        <v>208.08629607399999</v>
      </c>
      <c r="AQ37" s="4">
        <f t="shared" si="19"/>
        <v>296.91251531412468</v>
      </c>
      <c r="AR37">
        <v>186.76009273599999</v>
      </c>
      <c r="AS37" s="4">
        <f t="shared" si="20"/>
        <v>266.48275230400191</v>
      </c>
      <c r="AT37">
        <v>122.212111365</v>
      </c>
      <c r="AU37" s="4">
        <f t="shared" si="21"/>
        <v>174.38104321068732</v>
      </c>
      <c r="AV37">
        <v>130.196217542</v>
      </c>
      <c r="AW37" s="4">
        <f t="shared" si="22"/>
        <v>185.77334098461225</v>
      </c>
      <c r="AX37">
        <v>150.70224451499999</v>
      </c>
      <c r="AY37" s="4">
        <f t="shared" si="23"/>
        <v>215.03281728134786</v>
      </c>
      <c r="AZ37">
        <v>138.844650024</v>
      </c>
      <c r="BA37" s="4">
        <f t="shared" si="24"/>
        <v>198.11354738072123</v>
      </c>
      <c r="BB37">
        <v>153.917975891</v>
      </c>
      <c r="BC37" s="4">
        <f t="shared" si="25"/>
        <v>219.62125443188069</v>
      </c>
      <c r="BD37">
        <v>164.42054414099999</v>
      </c>
      <c r="BE37" s="4">
        <f t="shared" si="26"/>
        <v>234.60707529178399</v>
      </c>
      <c r="BF37">
        <v>145.89041781899999</v>
      </c>
      <c r="BG37" s="4">
        <f t="shared" si="27"/>
        <v>208.16695636440917</v>
      </c>
      <c r="BH37">
        <v>141.64115810800001</v>
      </c>
      <c r="BI37" s="4">
        <f t="shared" si="28"/>
        <v>202.10380654234064</v>
      </c>
      <c r="BJ37">
        <v>174.10223626800001</v>
      </c>
      <c r="BK37" s="4">
        <f t="shared" si="29"/>
        <v>248.4216109731835</v>
      </c>
      <c r="BL37">
        <v>150.255469089</v>
      </c>
      <c r="BM37" s="4">
        <f t="shared" si="30"/>
        <v>214.3953259231134</v>
      </c>
      <c r="BN37">
        <v>163.27179263100001</v>
      </c>
      <c r="BO37" s="4">
        <f t="shared" si="31"/>
        <v>232.96795389484348</v>
      </c>
      <c r="BP37">
        <v>141.93913530500001</v>
      </c>
      <c r="BQ37" s="4">
        <f t="shared" si="32"/>
        <v>202.52898186977333</v>
      </c>
      <c r="BR37">
        <v>132.07463909000001</v>
      </c>
      <c r="BS37" s="4">
        <f t="shared" si="33"/>
        <v>188.45360814857096</v>
      </c>
      <c r="BT37">
        <v>180.61005783300001</v>
      </c>
      <c r="BU37" s="4">
        <f t="shared" si="34"/>
        <v>257.7074395286233</v>
      </c>
      <c r="BV37">
        <v>192.28071640100001</v>
      </c>
      <c r="BW37" s="4">
        <f t="shared" si="35"/>
        <v>274.35997578966055</v>
      </c>
      <c r="BX37">
        <v>185.873307579</v>
      </c>
      <c r="BY37" s="4">
        <f t="shared" si="36"/>
        <v>265.21742336847956</v>
      </c>
      <c r="BZ37">
        <v>153.41416228200001</v>
      </c>
      <c r="CA37" s="4">
        <f t="shared" si="37"/>
        <v>218.90237688578569</v>
      </c>
      <c r="CB37">
        <v>143.27978158600001</v>
      </c>
      <c r="CC37" s="4">
        <f t="shared" si="38"/>
        <v>204.44191254780645</v>
      </c>
      <c r="CD37">
        <v>170.80776501299999</v>
      </c>
      <c r="CE37" s="4">
        <f t="shared" si="39"/>
        <v>243.72082209180383</v>
      </c>
    </row>
    <row r="38" spans="1:83" x14ac:dyDescent="0.2">
      <c r="A38" s="2">
        <v>42040</v>
      </c>
      <c r="B38">
        <v>2017</v>
      </c>
      <c r="C38">
        <v>12</v>
      </c>
      <c r="D38">
        <v>77.941630367000002</v>
      </c>
      <c r="E38" s="4">
        <f t="shared" si="0"/>
        <v>9.2602797534451469</v>
      </c>
      <c r="F38">
        <v>81.356727598999996</v>
      </c>
      <c r="G38" s="4">
        <f t="shared" si="1"/>
        <v>9.6660289737863963</v>
      </c>
      <c r="H38">
        <v>110.821741577</v>
      </c>
      <c r="I38" s="4">
        <f t="shared" si="2"/>
        <v>13.16678038340762</v>
      </c>
      <c r="J38">
        <v>96.488666053999992</v>
      </c>
      <c r="K38" s="4">
        <f t="shared" si="3"/>
        <v>11.46386130864275</v>
      </c>
      <c r="L38">
        <v>126.559736261</v>
      </c>
      <c r="M38" s="4">
        <f t="shared" si="4"/>
        <v>15.036618528258348</v>
      </c>
      <c r="N38">
        <v>72.429510110999999</v>
      </c>
      <c r="O38" s="4">
        <f t="shared" si="5"/>
        <v>8.6053822953749943</v>
      </c>
      <c r="P38">
        <v>33.017354130000001</v>
      </c>
      <c r="Q38" s="4">
        <f t="shared" si="6"/>
        <v>3.922806522300053</v>
      </c>
      <c r="R38">
        <v>63.165385966000002</v>
      </c>
      <c r="S38" s="4">
        <f t="shared" si="7"/>
        <v>7.5047075872710165</v>
      </c>
      <c r="T38">
        <v>54.348657600999999</v>
      </c>
      <c r="U38" s="4">
        <f t="shared" si="8"/>
        <v>6.45718817068202</v>
      </c>
      <c r="V38">
        <v>37.544932125999999</v>
      </c>
      <c r="W38" s="4">
        <f t="shared" si="9"/>
        <v>4.4607300767738893</v>
      </c>
      <c r="X38">
        <v>81.457275390000007</v>
      </c>
      <c r="Y38" s="4">
        <f t="shared" si="10"/>
        <v>9.677975101534388</v>
      </c>
      <c r="Z38">
        <v>63.900329837000001</v>
      </c>
      <c r="AA38" s="4">
        <f t="shared" si="11"/>
        <v>7.5920265953093891</v>
      </c>
      <c r="AB38">
        <v>36.196105478</v>
      </c>
      <c r="AC38" s="4">
        <f t="shared" si="12"/>
        <v>4.3004753830939109</v>
      </c>
      <c r="AD38">
        <v>85.519777308000002</v>
      </c>
      <c r="AE38" s="4">
        <f t="shared" si="13"/>
        <v>10.160642760427953</v>
      </c>
      <c r="AF38">
        <v>60.544492249000001</v>
      </c>
      <c r="AG38" s="4">
        <f t="shared" si="14"/>
        <v>7.1933180396161021</v>
      </c>
      <c r="AH38">
        <v>42.759397034999999</v>
      </c>
      <c r="AI38" s="4">
        <f t="shared" si="15"/>
        <v>5.0802629707420337</v>
      </c>
      <c r="AJ38">
        <v>59.577045208999998</v>
      </c>
      <c r="AK38" s="4">
        <f t="shared" si="16"/>
        <v>7.0783752267077951</v>
      </c>
      <c r="AL38">
        <v>50.675971272999988</v>
      </c>
      <c r="AM38" s="4">
        <f t="shared" si="17"/>
        <v>6.0208346753318258</v>
      </c>
      <c r="AN38">
        <v>42.496559386000001</v>
      </c>
      <c r="AO38" s="4">
        <f t="shared" si="18"/>
        <v>5.0490351128178768</v>
      </c>
      <c r="AP38">
        <v>73.471811771999995</v>
      </c>
      <c r="AQ38" s="4">
        <f t="shared" si="19"/>
        <v>8.7292186190814984</v>
      </c>
      <c r="AR38">
        <v>39.637229918999999</v>
      </c>
      <c r="AS38" s="4">
        <f t="shared" si="20"/>
        <v>4.709316907707044</v>
      </c>
      <c r="AT38">
        <v>6.1068913930000006</v>
      </c>
      <c r="AU38" s="4">
        <f t="shared" si="21"/>
        <v>0.72556248126713419</v>
      </c>
      <c r="AV38">
        <v>18.667852283999999</v>
      </c>
      <c r="AW38" s="4">
        <f t="shared" si="22"/>
        <v>2.2179358287971072</v>
      </c>
      <c r="AX38">
        <v>16.780533195</v>
      </c>
      <c r="AY38" s="4">
        <f t="shared" si="23"/>
        <v>1.9937026088110275</v>
      </c>
      <c r="AZ38">
        <v>14.172368527</v>
      </c>
      <c r="BA38" s="4">
        <f t="shared" si="24"/>
        <v>1.6838254051265977</v>
      </c>
      <c r="BB38">
        <v>28.990257264</v>
      </c>
      <c r="BC38" s="4">
        <f t="shared" si="25"/>
        <v>3.4443453533741919</v>
      </c>
      <c r="BD38">
        <v>31.368170737</v>
      </c>
      <c r="BE38" s="4">
        <f t="shared" si="26"/>
        <v>3.7268663102207595</v>
      </c>
      <c r="BF38">
        <v>33.304508448</v>
      </c>
      <c r="BG38" s="4">
        <f t="shared" si="27"/>
        <v>3.9569234544782592</v>
      </c>
      <c r="BH38">
        <v>24.510429501000001</v>
      </c>
      <c r="BI38" s="4">
        <f t="shared" si="28"/>
        <v>2.9120950253108133</v>
      </c>
      <c r="BJ38">
        <v>14.605146647</v>
      </c>
      <c r="BK38" s="4">
        <f t="shared" si="29"/>
        <v>1.7352439659585874</v>
      </c>
      <c r="BL38">
        <v>11.572807788</v>
      </c>
      <c r="BM38" s="4">
        <f t="shared" si="30"/>
        <v>1.3749704380715999</v>
      </c>
      <c r="BN38">
        <v>23.609098911</v>
      </c>
      <c r="BO38" s="4">
        <f t="shared" si="31"/>
        <v>2.8050075372195753</v>
      </c>
      <c r="BP38">
        <v>19.39835167</v>
      </c>
      <c r="BQ38" s="4">
        <f t="shared" si="32"/>
        <v>2.3047267855968001</v>
      </c>
      <c r="BR38">
        <v>0</v>
      </c>
      <c r="BS38" s="4">
        <f t="shared" si="33"/>
        <v>0</v>
      </c>
      <c r="BT38">
        <v>35.105299707999997</v>
      </c>
      <c r="BU38" s="4">
        <f t="shared" si="34"/>
        <v>4.1708762646342468</v>
      </c>
      <c r="BV38">
        <v>18.692948221999998</v>
      </c>
      <c r="BW38" s="4">
        <f t="shared" si="35"/>
        <v>2.2209174883474763</v>
      </c>
      <c r="BX38">
        <v>13.095332801</v>
      </c>
      <c r="BY38" s="4">
        <f t="shared" si="36"/>
        <v>1.5558623117161514</v>
      </c>
      <c r="BZ38">
        <v>2.1752683529999999</v>
      </c>
      <c r="CA38" s="4">
        <f t="shared" si="37"/>
        <v>0.25844460005194525</v>
      </c>
      <c r="CB38">
        <v>0.39591902499999998</v>
      </c>
      <c r="CC38" s="4">
        <f t="shared" si="38"/>
        <v>4.7039315369050066E-2</v>
      </c>
      <c r="CD38">
        <v>5.0075124999999998E-2</v>
      </c>
      <c r="CE38" s="4">
        <f t="shared" si="39"/>
        <v>5.9494478625259379E-3</v>
      </c>
    </row>
    <row r="39" spans="1:83" x14ac:dyDescent="0.2">
      <c r="A39" s="2">
        <v>42041</v>
      </c>
      <c r="B39">
        <v>2018</v>
      </c>
      <c r="C39">
        <v>1</v>
      </c>
      <c r="D39">
        <v>69.260362624999999</v>
      </c>
      <c r="E39" s="4">
        <f t="shared" si="0"/>
        <v>154.82797999157981</v>
      </c>
      <c r="F39">
        <v>69.683738715000004</v>
      </c>
      <c r="G39" s="4">
        <f t="shared" si="1"/>
        <v>155.77441547512396</v>
      </c>
      <c r="H39">
        <v>88.630986210000003</v>
      </c>
      <c r="I39" s="4">
        <f t="shared" si="2"/>
        <v>198.13001317730058</v>
      </c>
      <c r="J39">
        <v>67.080338948999994</v>
      </c>
      <c r="K39" s="4">
        <f t="shared" si="3"/>
        <v>149.95464913831245</v>
      </c>
      <c r="L39">
        <v>94.912899980000006</v>
      </c>
      <c r="M39" s="4">
        <f t="shared" si="4"/>
        <v>212.17290845863886</v>
      </c>
      <c r="N39">
        <v>68.421499253000007</v>
      </c>
      <c r="O39" s="4">
        <f t="shared" si="5"/>
        <v>152.95274404921409</v>
      </c>
      <c r="P39">
        <v>25.898721694999999</v>
      </c>
      <c r="Q39" s="4">
        <f t="shared" si="6"/>
        <v>57.895260902858347</v>
      </c>
      <c r="R39">
        <v>52.388673550999997</v>
      </c>
      <c r="S39" s="4">
        <f t="shared" si="7"/>
        <v>117.11218643564868</v>
      </c>
      <c r="T39">
        <v>38.008208750000001</v>
      </c>
      <c r="U39" s="4">
        <f t="shared" si="8"/>
        <v>84.965396668839475</v>
      </c>
      <c r="V39">
        <v>22.640864134000001</v>
      </c>
      <c r="W39" s="4">
        <f t="shared" si="9"/>
        <v>50.612487810823517</v>
      </c>
      <c r="X39">
        <v>48.251019001000003</v>
      </c>
      <c r="Y39" s="4">
        <f t="shared" si="10"/>
        <v>107.86267240483086</v>
      </c>
      <c r="Z39">
        <v>25.609659911000001</v>
      </c>
      <c r="AA39" s="4">
        <f t="shared" si="11"/>
        <v>57.24907814531489</v>
      </c>
      <c r="AB39">
        <v>8.1212788830000004</v>
      </c>
      <c r="AC39" s="4">
        <f t="shared" si="12"/>
        <v>18.1547014301842</v>
      </c>
      <c r="AD39">
        <v>49.270466085000002</v>
      </c>
      <c r="AE39" s="4">
        <f t="shared" si="13"/>
        <v>110.14159395161255</v>
      </c>
      <c r="AF39">
        <v>23.366594316</v>
      </c>
      <c r="AG39" s="4">
        <f t="shared" si="14"/>
        <v>52.234820323091121</v>
      </c>
      <c r="AH39">
        <v>5.7342860699999996</v>
      </c>
      <c r="AI39" s="4">
        <f t="shared" si="15"/>
        <v>12.81870171138098</v>
      </c>
      <c r="AJ39">
        <v>51.311531543999997</v>
      </c>
      <c r="AK39" s="4">
        <f t="shared" si="16"/>
        <v>114.70429085458096</v>
      </c>
      <c r="AL39">
        <v>34.866020202999998</v>
      </c>
      <c r="AM39" s="4">
        <f t="shared" si="17"/>
        <v>77.941195711088753</v>
      </c>
      <c r="AN39">
        <v>17.722327947</v>
      </c>
      <c r="AO39" s="4">
        <f t="shared" si="18"/>
        <v>39.617353025407034</v>
      </c>
      <c r="AP39">
        <v>49.796945813000001</v>
      </c>
      <c r="AQ39" s="4">
        <f t="shared" si="19"/>
        <v>111.31851231737539</v>
      </c>
      <c r="AR39">
        <v>39.476355554000001</v>
      </c>
      <c r="AS39" s="4">
        <f t="shared" si="20"/>
        <v>88.247363372149294</v>
      </c>
      <c r="AT39">
        <v>8.9995794890000003</v>
      </c>
      <c r="AU39" s="4">
        <f t="shared" si="21"/>
        <v>20.118097281699356</v>
      </c>
      <c r="AV39">
        <v>8.7803777459999992</v>
      </c>
      <c r="AW39" s="4">
        <f t="shared" si="22"/>
        <v>19.628083054325483</v>
      </c>
      <c r="AX39">
        <v>13.477912187999999</v>
      </c>
      <c r="AY39" s="4">
        <f t="shared" si="23"/>
        <v>30.129179800434716</v>
      </c>
      <c r="AZ39">
        <v>11.525942564999999</v>
      </c>
      <c r="BA39" s="4">
        <f t="shared" si="24"/>
        <v>25.765652058451348</v>
      </c>
      <c r="BB39">
        <v>13.324077368999999</v>
      </c>
      <c r="BC39" s="4">
        <f t="shared" si="25"/>
        <v>29.785289971166872</v>
      </c>
      <c r="BD39">
        <v>12.187964617</v>
      </c>
      <c r="BE39" s="4">
        <f t="shared" si="26"/>
        <v>27.245568321321777</v>
      </c>
      <c r="BF39">
        <v>10.696278333</v>
      </c>
      <c r="BG39" s="4">
        <f t="shared" si="27"/>
        <v>23.910980320630291</v>
      </c>
      <c r="BH39">
        <v>9.0185559990000002</v>
      </c>
      <c r="BI39" s="4">
        <f t="shared" si="28"/>
        <v>20.160518294227082</v>
      </c>
      <c r="BJ39">
        <v>12.492122651000001</v>
      </c>
      <c r="BK39" s="4">
        <f t="shared" si="29"/>
        <v>27.925497969646084</v>
      </c>
      <c r="BL39">
        <v>10.584336996999999</v>
      </c>
      <c r="BM39" s="4">
        <f t="shared" si="30"/>
        <v>23.660741218876254</v>
      </c>
      <c r="BN39">
        <v>11.393217087</v>
      </c>
      <c r="BO39" s="4">
        <f t="shared" si="31"/>
        <v>25.468951075763464</v>
      </c>
      <c r="BP39">
        <v>12.515595674</v>
      </c>
      <c r="BQ39" s="4">
        <f t="shared" si="32"/>
        <v>27.977970705820788</v>
      </c>
      <c r="BR39">
        <v>7.3901388639999999</v>
      </c>
      <c r="BS39" s="4">
        <f t="shared" si="33"/>
        <v>16.520275505421356</v>
      </c>
      <c r="BT39">
        <v>17.855895518000001</v>
      </c>
      <c r="BU39" s="4">
        <f t="shared" si="34"/>
        <v>39.915936463704647</v>
      </c>
      <c r="BV39">
        <v>19.827062964</v>
      </c>
      <c r="BW39" s="4">
        <f t="shared" si="35"/>
        <v>44.322379952049594</v>
      </c>
      <c r="BX39">
        <v>7.9612165400000006</v>
      </c>
      <c r="BY39" s="4">
        <f t="shared" si="36"/>
        <v>17.796890291169689</v>
      </c>
      <c r="BZ39">
        <v>7.6112295400000001</v>
      </c>
      <c r="CA39" s="4">
        <f t="shared" si="37"/>
        <v>17.014512345407191</v>
      </c>
      <c r="CB39">
        <v>7.2761584509999997</v>
      </c>
      <c r="CC39" s="4">
        <f t="shared" si="38"/>
        <v>16.265478151862222</v>
      </c>
      <c r="CD39">
        <v>9.8260295989999999</v>
      </c>
      <c r="CE39" s="4">
        <f t="shared" si="39"/>
        <v>21.965584015026561</v>
      </c>
    </row>
    <row r="40" spans="1:83" x14ac:dyDescent="0.2">
      <c r="A40" s="2">
        <v>42042</v>
      </c>
      <c r="B40">
        <v>2018</v>
      </c>
      <c r="C40">
        <v>2</v>
      </c>
      <c r="D40">
        <v>17.159041404</v>
      </c>
      <c r="E40" s="4">
        <f t="shared" si="0"/>
        <v>4.3215481607280566</v>
      </c>
      <c r="F40">
        <v>18.606515408</v>
      </c>
      <c r="G40" s="4">
        <f t="shared" si="1"/>
        <v>4.6860981651490308</v>
      </c>
      <c r="H40">
        <v>22.829668521999999</v>
      </c>
      <c r="I40" s="4">
        <f t="shared" si="2"/>
        <v>5.7497100035134521</v>
      </c>
      <c r="J40">
        <v>14.895933149999999</v>
      </c>
      <c r="K40" s="4">
        <f t="shared" si="3"/>
        <v>3.7515785987732548</v>
      </c>
      <c r="L40">
        <v>24.25123215</v>
      </c>
      <c r="M40" s="4">
        <f t="shared" si="4"/>
        <v>6.107734413927731</v>
      </c>
      <c r="N40">
        <v>16.471131801999999</v>
      </c>
      <c r="O40" s="4">
        <f t="shared" si="5"/>
        <v>4.1482963802074231</v>
      </c>
      <c r="P40">
        <v>0</v>
      </c>
      <c r="Q40" s="4">
        <f t="shared" si="6"/>
        <v>0</v>
      </c>
      <c r="R40">
        <v>11.1307106</v>
      </c>
      <c r="S40" s="4">
        <f t="shared" si="7"/>
        <v>2.8032977360735951</v>
      </c>
      <c r="T40">
        <v>9.8461422919999997</v>
      </c>
      <c r="U40" s="4">
        <f t="shared" si="8"/>
        <v>2.4797759449627663</v>
      </c>
      <c r="V40">
        <v>6.7054827210000001</v>
      </c>
      <c r="W40" s="4">
        <f t="shared" si="9"/>
        <v>1.6887928548838482</v>
      </c>
      <c r="X40">
        <v>10.251496319999999</v>
      </c>
      <c r="Y40" s="4">
        <f t="shared" si="10"/>
        <v>2.5818653864940835</v>
      </c>
      <c r="Z40">
        <v>6.2314157479999999</v>
      </c>
      <c r="AA40" s="4">
        <f t="shared" si="11"/>
        <v>1.5693978836267424</v>
      </c>
      <c r="AB40">
        <v>0</v>
      </c>
      <c r="AC40" s="4">
        <f t="shared" si="12"/>
        <v>0</v>
      </c>
      <c r="AD40">
        <v>10.418567658000001</v>
      </c>
      <c r="AE40" s="4">
        <f t="shared" si="13"/>
        <v>2.6239427273224569</v>
      </c>
      <c r="AF40">
        <v>5.7061636450000002</v>
      </c>
      <c r="AG40" s="4">
        <f t="shared" si="14"/>
        <v>1.437111807371396</v>
      </c>
      <c r="AH40">
        <v>0</v>
      </c>
      <c r="AI40" s="4">
        <f t="shared" si="15"/>
        <v>0</v>
      </c>
      <c r="AJ40">
        <v>13.018812656</v>
      </c>
      <c r="AK40" s="4">
        <f t="shared" si="16"/>
        <v>3.2788210345645918</v>
      </c>
      <c r="AL40">
        <v>9.3985519410000009</v>
      </c>
      <c r="AM40" s="4">
        <f t="shared" si="17"/>
        <v>2.367049178205693</v>
      </c>
      <c r="AN40">
        <v>5.4391949180000001</v>
      </c>
      <c r="AO40" s="4">
        <f t="shared" si="18"/>
        <v>1.369875055388863</v>
      </c>
      <c r="AP40">
        <v>13.789454937</v>
      </c>
      <c r="AQ40" s="4">
        <f t="shared" si="19"/>
        <v>3.4729092504283563</v>
      </c>
      <c r="AR40">
        <v>13.372242451</v>
      </c>
      <c r="AS40" s="4">
        <f t="shared" si="20"/>
        <v>3.3678332261298327</v>
      </c>
      <c r="AT40">
        <v>3.1764130590000001</v>
      </c>
      <c r="AU40" s="4">
        <f t="shared" si="21"/>
        <v>0.79998769684383886</v>
      </c>
      <c r="AV40">
        <v>1.278385758</v>
      </c>
      <c r="AW40" s="4">
        <f t="shared" si="22"/>
        <v>0.32196470018995255</v>
      </c>
      <c r="AX40">
        <v>0</v>
      </c>
      <c r="AY40" s="4">
        <f t="shared" si="23"/>
        <v>0</v>
      </c>
      <c r="AZ40">
        <v>0</v>
      </c>
      <c r="BA40" s="4">
        <f t="shared" si="24"/>
        <v>0</v>
      </c>
      <c r="BB40">
        <v>0</v>
      </c>
      <c r="BC40" s="4">
        <f t="shared" si="25"/>
        <v>0</v>
      </c>
      <c r="BD40">
        <v>0</v>
      </c>
      <c r="BE40" s="4">
        <f t="shared" si="26"/>
        <v>0</v>
      </c>
      <c r="BF40">
        <v>0</v>
      </c>
      <c r="BG40" s="4">
        <f t="shared" si="27"/>
        <v>0</v>
      </c>
      <c r="BH40">
        <v>0</v>
      </c>
      <c r="BI40" s="4">
        <f t="shared" si="28"/>
        <v>0</v>
      </c>
      <c r="BJ40">
        <v>0</v>
      </c>
      <c r="BK40" s="4">
        <f t="shared" si="29"/>
        <v>0</v>
      </c>
      <c r="BL40">
        <v>0</v>
      </c>
      <c r="BM40" s="4">
        <f t="shared" si="30"/>
        <v>0</v>
      </c>
      <c r="BN40">
        <v>6.0019457340000004</v>
      </c>
      <c r="BO40" s="4">
        <f t="shared" si="31"/>
        <v>1.511605277758167</v>
      </c>
      <c r="BP40">
        <v>6.0402967930000004</v>
      </c>
      <c r="BQ40" s="4">
        <f t="shared" si="32"/>
        <v>1.5212640893771416</v>
      </c>
      <c r="BR40">
        <v>0</v>
      </c>
      <c r="BS40" s="4">
        <f t="shared" si="33"/>
        <v>0</v>
      </c>
      <c r="BT40">
        <v>0</v>
      </c>
      <c r="BU40" s="4">
        <f t="shared" si="34"/>
        <v>0</v>
      </c>
      <c r="BV40">
        <v>0</v>
      </c>
      <c r="BW40" s="4">
        <f t="shared" si="35"/>
        <v>0</v>
      </c>
      <c r="BX40">
        <v>0</v>
      </c>
      <c r="BY40" s="4">
        <f t="shared" si="36"/>
        <v>0</v>
      </c>
      <c r="BZ40">
        <v>0</v>
      </c>
      <c r="CA40" s="4">
        <f t="shared" si="37"/>
        <v>0</v>
      </c>
      <c r="CB40">
        <v>0</v>
      </c>
      <c r="CC40" s="4">
        <f t="shared" si="38"/>
        <v>0</v>
      </c>
      <c r="CD40">
        <v>5.3032288559999996</v>
      </c>
      <c r="CE40" s="4">
        <f t="shared" si="39"/>
        <v>1.335631657326978</v>
      </c>
    </row>
    <row r="41" spans="1:83" x14ac:dyDescent="0.2">
      <c r="A41" s="2">
        <v>42043</v>
      </c>
      <c r="B41">
        <v>2018</v>
      </c>
      <c r="C41">
        <v>3</v>
      </c>
      <c r="D41">
        <v>29.489631653</v>
      </c>
      <c r="E41" s="4">
        <f t="shared" si="0"/>
        <v>2.6467679761674341</v>
      </c>
      <c r="F41">
        <v>30.498249053999999</v>
      </c>
      <c r="G41" s="4">
        <f t="shared" si="1"/>
        <v>2.7372939029943448</v>
      </c>
      <c r="H41">
        <v>40.650696280000012</v>
      </c>
      <c r="I41" s="4">
        <f t="shared" si="2"/>
        <v>3.6485013576582661</v>
      </c>
      <c r="J41">
        <v>31.650094985999999</v>
      </c>
      <c r="K41" s="4">
        <f t="shared" si="3"/>
        <v>2.8406749476330013</v>
      </c>
      <c r="L41">
        <v>43.258385660000002</v>
      </c>
      <c r="M41" s="4">
        <f t="shared" si="4"/>
        <v>3.8825479820444255</v>
      </c>
      <c r="N41">
        <v>31.640187740999998</v>
      </c>
      <c r="O41" s="4">
        <f t="shared" si="5"/>
        <v>2.8397857476895569</v>
      </c>
      <c r="P41">
        <v>16.75318146</v>
      </c>
      <c r="Q41" s="4">
        <f t="shared" si="6"/>
        <v>1.5036398117485155</v>
      </c>
      <c r="R41">
        <v>25.095418930000001</v>
      </c>
      <c r="S41" s="4">
        <f t="shared" si="7"/>
        <v>2.2523764268745246</v>
      </c>
      <c r="T41">
        <v>22.68547058</v>
      </c>
      <c r="U41" s="4">
        <f t="shared" si="8"/>
        <v>2.0360775530176634</v>
      </c>
      <c r="V41">
        <v>18.59524918</v>
      </c>
      <c r="W41" s="4">
        <f t="shared" si="9"/>
        <v>1.6689699829964078</v>
      </c>
      <c r="X41">
        <v>22.980480193999998</v>
      </c>
      <c r="Y41" s="4">
        <f t="shared" si="10"/>
        <v>2.0625554015097887</v>
      </c>
      <c r="Z41">
        <v>18.585245610000001</v>
      </c>
      <c r="AA41" s="4">
        <f t="shared" si="11"/>
        <v>1.6680721376440177</v>
      </c>
      <c r="AB41">
        <v>11.183430672</v>
      </c>
      <c r="AC41" s="4">
        <f t="shared" si="12"/>
        <v>1.0037407898015243</v>
      </c>
      <c r="AD41">
        <v>20.550702093999998</v>
      </c>
      <c r="AE41" s="4">
        <f t="shared" si="13"/>
        <v>1.8444767581429862</v>
      </c>
      <c r="AF41">
        <v>16.362284183</v>
      </c>
      <c r="AG41" s="4">
        <f t="shared" si="14"/>
        <v>1.4685558063967767</v>
      </c>
      <c r="AH41">
        <v>8.7540960309999996</v>
      </c>
      <c r="AI41" s="4">
        <f t="shared" si="15"/>
        <v>0.78570194798578064</v>
      </c>
      <c r="AJ41">
        <v>23.952361582999998</v>
      </c>
      <c r="AK41" s="4">
        <f t="shared" si="16"/>
        <v>2.1497841796548229</v>
      </c>
      <c r="AL41">
        <v>19.573933125</v>
      </c>
      <c r="AM41" s="4">
        <f t="shared" si="17"/>
        <v>1.756809307505288</v>
      </c>
      <c r="AN41">
        <v>13.935295105</v>
      </c>
      <c r="AO41" s="4">
        <f t="shared" si="18"/>
        <v>1.2507274847091765</v>
      </c>
      <c r="AP41">
        <v>27.033650398999999</v>
      </c>
      <c r="AQ41" s="4">
        <f t="shared" si="19"/>
        <v>2.4263375343889777</v>
      </c>
      <c r="AR41">
        <v>25.904268264999999</v>
      </c>
      <c r="AS41" s="4">
        <f t="shared" si="20"/>
        <v>2.3249726716365213</v>
      </c>
      <c r="AT41">
        <v>11.234251261000001</v>
      </c>
      <c r="AU41" s="4">
        <f t="shared" si="21"/>
        <v>1.008302064390435</v>
      </c>
      <c r="AV41">
        <v>12.619419336</v>
      </c>
      <c r="AW41" s="4">
        <f t="shared" si="22"/>
        <v>1.1326243531751619</v>
      </c>
      <c r="AX41">
        <v>14.834650517</v>
      </c>
      <c r="AY41" s="4">
        <f t="shared" si="23"/>
        <v>1.3314468755677704</v>
      </c>
      <c r="AZ41">
        <v>13.313006877999999</v>
      </c>
      <c r="BA41" s="4">
        <f t="shared" si="24"/>
        <v>1.1948755645987381</v>
      </c>
      <c r="BB41">
        <v>16.598061558000001</v>
      </c>
      <c r="BC41" s="4">
        <f t="shared" si="25"/>
        <v>1.4897174137372109</v>
      </c>
      <c r="BD41">
        <v>13.95273018</v>
      </c>
      <c r="BE41" s="4">
        <f t="shared" si="26"/>
        <v>1.2522923261665089</v>
      </c>
      <c r="BF41">
        <v>13.53891563</v>
      </c>
      <c r="BG41" s="4">
        <f t="shared" si="27"/>
        <v>1.2151514384165354</v>
      </c>
      <c r="BH41">
        <v>10.58968735</v>
      </c>
      <c r="BI41" s="4">
        <f t="shared" si="28"/>
        <v>0.95045084609437736</v>
      </c>
      <c r="BJ41">
        <v>14.844676017999999</v>
      </c>
      <c r="BK41" s="4">
        <f t="shared" si="29"/>
        <v>1.3323466892820977</v>
      </c>
      <c r="BL41">
        <v>11.465927600000001</v>
      </c>
      <c r="BM41" s="4">
        <f t="shared" si="30"/>
        <v>1.0290955935235306</v>
      </c>
      <c r="BN41">
        <v>13.056406020000001</v>
      </c>
      <c r="BO41" s="4">
        <f t="shared" si="31"/>
        <v>1.1718449977336416</v>
      </c>
      <c r="BP41">
        <v>13.764062881999999</v>
      </c>
      <c r="BQ41" s="4">
        <f t="shared" si="32"/>
        <v>1.2353589657104571</v>
      </c>
      <c r="BR41">
        <v>10.881888628</v>
      </c>
      <c r="BS41" s="4">
        <f t="shared" si="33"/>
        <v>0.97667663942763927</v>
      </c>
      <c r="BT41">
        <v>16.121558665999999</v>
      </c>
      <c r="BU41" s="4">
        <f t="shared" si="34"/>
        <v>1.4469500909731616</v>
      </c>
      <c r="BV41">
        <v>16.179840087999999</v>
      </c>
      <c r="BW41" s="4">
        <f t="shared" si="35"/>
        <v>1.4521809939281467</v>
      </c>
      <c r="BX41">
        <v>13.087868809</v>
      </c>
      <c r="BY41" s="4">
        <f t="shared" si="36"/>
        <v>1.1746688615019649</v>
      </c>
      <c r="BZ41">
        <v>12.464713811999999</v>
      </c>
      <c r="CA41" s="4">
        <f t="shared" si="37"/>
        <v>1.1187391466226499</v>
      </c>
      <c r="CB41">
        <v>12.901036263</v>
      </c>
      <c r="CC41" s="4">
        <f t="shared" si="38"/>
        <v>1.1579001746130488</v>
      </c>
      <c r="CD41">
        <v>18.430398464</v>
      </c>
      <c r="CE41" s="4">
        <f t="shared" si="39"/>
        <v>1.654174220163857</v>
      </c>
    </row>
    <row r="42" spans="1:83" x14ac:dyDescent="0.2">
      <c r="A42" s="2">
        <v>42044</v>
      </c>
      <c r="B42">
        <v>2018</v>
      </c>
      <c r="C42">
        <v>4</v>
      </c>
      <c r="D42">
        <v>51.330101970000001</v>
      </c>
      <c r="E42" s="4">
        <f t="shared" si="0"/>
        <v>13.040789582943171</v>
      </c>
      <c r="F42">
        <v>67.359729770000001</v>
      </c>
      <c r="G42" s="4">
        <f t="shared" si="1"/>
        <v>17.113234312448473</v>
      </c>
      <c r="H42">
        <v>70.603933330000004</v>
      </c>
      <c r="I42" s="4">
        <f t="shared" si="2"/>
        <v>17.937448065519167</v>
      </c>
      <c r="J42">
        <v>44.047028539999999</v>
      </c>
      <c r="K42" s="4">
        <f t="shared" si="3"/>
        <v>11.190471261478239</v>
      </c>
      <c r="L42">
        <v>53.89406872</v>
      </c>
      <c r="M42" s="4">
        <f t="shared" si="4"/>
        <v>13.692184176001927</v>
      </c>
      <c r="N42">
        <v>46.179211610000003</v>
      </c>
      <c r="O42" s="4">
        <f t="shared" si="5"/>
        <v>11.732168037853917</v>
      </c>
      <c r="P42">
        <v>49.923721309999998</v>
      </c>
      <c r="Q42" s="4">
        <f t="shared" si="6"/>
        <v>12.6834882420789</v>
      </c>
      <c r="R42">
        <v>36.772767064</v>
      </c>
      <c r="S42" s="4">
        <f t="shared" si="7"/>
        <v>9.3423916816779098</v>
      </c>
      <c r="T42">
        <v>42.066095347999998</v>
      </c>
      <c r="U42" s="4">
        <f t="shared" si="8"/>
        <v>10.687200628003984</v>
      </c>
      <c r="V42">
        <v>38.890313153000001</v>
      </c>
      <c r="W42" s="4">
        <f t="shared" si="9"/>
        <v>9.8803698254768957</v>
      </c>
      <c r="X42">
        <v>36.419799802</v>
      </c>
      <c r="Y42" s="4">
        <f t="shared" si="10"/>
        <v>9.2527177551367199</v>
      </c>
      <c r="Z42">
        <v>29.474715705000001</v>
      </c>
      <c r="AA42" s="4">
        <f t="shared" si="11"/>
        <v>7.4882681072915753</v>
      </c>
      <c r="AB42">
        <v>18.622906446999998</v>
      </c>
      <c r="AC42" s="4">
        <f t="shared" si="12"/>
        <v>4.7312862253829415</v>
      </c>
      <c r="AD42">
        <v>38.315454481000003</v>
      </c>
      <c r="AE42" s="4">
        <f t="shared" si="13"/>
        <v>9.7343227557503731</v>
      </c>
      <c r="AF42">
        <v>29.691495422999999</v>
      </c>
      <c r="AG42" s="4">
        <f t="shared" si="14"/>
        <v>7.5433425875632096</v>
      </c>
      <c r="AH42">
        <v>22.901127340999999</v>
      </c>
      <c r="AI42" s="4">
        <f t="shared" si="15"/>
        <v>5.8181996801937741</v>
      </c>
      <c r="AJ42">
        <v>56.748336790000003</v>
      </c>
      <c r="AK42" s="4">
        <f t="shared" si="16"/>
        <v>14.417331952562702</v>
      </c>
      <c r="AL42">
        <v>51.696826939999987</v>
      </c>
      <c r="AM42" s="4">
        <f t="shared" si="17"/>
        <v>13.133958756294435</v>
      </c>
      <c r="AN42">
        <v>43.208083149999993</v>
      </c>
      <c r="AO42" s="4">
        <f t="shared" si="18"/>
        <v>10.97733102051467</v>
      </c>
      <c r="AP42">
        <v>59.594112389999999</v>
      </c>
      <c r="AQ42" s="4">
        <f t="shared" si="19"/>
        <v>15.140322154716664</v>
      </c>
      <c r="AR42">
        <v>63.345527649999987</v>
      </c>
      <c r="AS42" s="4">
        <f t="shared" si="20"/>
        <v>16.093396767202222</v>
      </c>
      <c r="AT42">
        <v>48.932975770000013</v>
      </c>
      <c r="AU42" s="4">
        <f t="shared" si="21"/>
        <v>12.431782057568874</v>
      </c>
      <c r="AV42">
        <v>34.963476180000001</v>
      </c>
      <c r="AW42" s="4">
        <f t="shared" si="22"/>
        <v>8.8827280377916935</v>
      </c>
      <c r="AX42">
        <v>48.774354940000002</v>
      </c>
      <c r="AY42" s="4">
        <f t="shared" si="23"/>
        <v>12.391483270149537</v>
      </c>
      <c r="AZ42">
        <v>50.667718890000003</v>
      </c>
      <c r="BA42" s="4">
        <f t="shared" si="24"/>
        <v>12.872506294228289</v>
      </c>
      <c r="BB42">
        <v>50.121024134000002</v>
      </c>
      <c r="BC42" s="4">
        <f t="shared" si="25"/>
        <v>12.733614474312148</v>
      </c>
      <c r="BD42">
        <v>53.268088339999998</v>
      </c>
      <c r="BE42" s="4">
        <f t="shared" si="26"/>
        <v>13.533149260711834</v>
      </c>
      <c r="BF42">
        <v>51.069890970000003</v>
      </c>
      <c r="BG42" s="4">
        <f t="shared" si="27"/>
        <v>12.974681066343097</v>
      </c>
      <c r="BH42">
        <v>47.952045429999998</v>
      </c>
      <c r="BI42" s="4">
        <f t="shared" si="28"/>
        <v>12.182569496741673</v>
      </c>
      <c r="BJ42">
        <v>45.595472338999997</v>
      </c>
      <c r="BK42" s="4">
        <f t="shared" si="29"/>
        <v>11.583864786696129</v>
      </c>
      <c r="BL42">
        <v>55.540962219999997</v>
      </c>
      <c r="BM42" s="4">
        <f t="shared" si="30"/>
        <v>14.110589571174705</v>
      </c>
      <c r="BN42">
        <v>60.319073680000002</v>
      </c>
      <c r="BO42" s="4">
        <f t="shared" si="31"/>
        <v>15.324503897511459</v>
      </c>
      <c r="BP42">
        <v>69.236417770000003</v>
      </c>
      <c r="BQ42" s="4">
        <f t="shared" si="32"/>
        <v>17.590020688893585</v>
      </c>
      <c r="BR42">
        <v>54.981399539999998</v>
      </c>
      <c r="BS42" s="4">
        <f t="shared" si="33"/>
        <v>13.968428560611885</v>
      </c>
      <c r="BT42">
        <v>46.444626802000002</v>
      </c>
      <c r="BU42" s="4">
        <f t="shared" si="34"/>
        <v>11.799598717672385</v>
      </c>
      <c r="BV42">
        <v>44.608967780999997</v>
      </c>
      <c r="BW42" s="4">
        <f t="shared" si="35"/>
        <v>11.333236054826257</v>
      </c>
      <c r="BX42">
        <v>33.961283684000001</v>
      </c>
      <c r="BY42" s="4">
        <f t="shared" si="36"/>
        <v>8.6281136699967682</v>
      </c>
      <c r="BZ42">
        <v>41.988441469999998</v>
      </c>
      <c r="CA42" s="4">
        <f t="shared" si="37"/>
        <v>10.667472089691525</v>
      </c>
      <c r="CB42">
        <v>48.701383590000013</v>
      </c>
      <c r="CC42" s="4">
        <f t="shared" si="38"/>
        <v>12.37294436248305</v>
      </c>
      <c r="CD42">
        <v>66.876350410000001</v>
      </c>
      <c r="CE42" s="4">
        <f t="shared" si="39"/>
        <v>16.990428234132441</v>
      </c>
    </row>
    <row r="43" spans="1:83" x14ac:dyDescent="0.2">
      <c r="A43" s="2">
        <v>42045</v>
      </c>
      <c r="B43">
        <v>2018</v>
      </c>
      <c r="C43">
        <v>5</v>
      </c>
      <c r="D43">
        <v>129.71689415399999</v>
      </c>
      <c r="E43" s="4">
        <f t="shared" si="0"/>
        <v>62.862542766151201</v>
      </c>
      <c r="F43">
        <v>135.63775922299999</v>
      </c>
      <c r="G43" s="4">
        <f t="shared" si="1"/>
        <v>65.731873211041034</v>
      </c>
      <c r="H43">
        <v>140.45323227399999</v>
      </c>
      <c r="I43" s="4">
        <f t="shared" si="2"/>
        <v>68.065515891757343</v>
      </c>
      <c r="J43">
        <v>141.90579034000001</v>
      </c>
      <c r="K43" s="4">
        <f t="shared" si="3"/>
        <v>68.769444968534657</v>
      </c>
      <c r="L43">
        <v>138.54221486399999</v>
      </c>
      <c r="M43" s="4">
        <f t="shared" si="4"/>
        <v>67.139411281818383</v>
      </c>
      <c r="N43">
        <v>137.266076091</v>
      </c>
      <c r="O43" s="4">
        <f t="shared" si="5"/>
        <v>66.52097735525507</v>
      </c>
      <c r="P43">
        <v>142.75917147999999</v>
      </c>
      <c r="Q43" s="4">
        <f t="shared" si="6"/>
        <v>69.183004888843783</v>
      </c>
      <c r="R43">
        <v>137.380772592</v>
      </c>
      <c r="S43" s="4">
        <f t="shared" si="7"/>
        <v>66.576560814497327</v>
      </c>
      <c r="T43">
        <v>132.58211660500001</v>
      </c>
      <c r="U43" s="4">
        <f t="shared" si="8"/>
        <v>64.251067908039758</v>
      </c>
      <c r="V43">
        <v>127.029297824</v>
      </c>
      <c r="W43" s="4">
        <f t="shared" si="9"/>
        <v>61.560097619475094</v>
      </c>
      <c r="X43">
        <v>130.517546651</v>
      </c>
      <c r="Y43" s="4">
        <f t="shared" si="10"/>
        <v>63.250549680452863</v>
      </c>
      <c r="Z43">
        <v>123.743677155</v>
      </c>
      <c r="AA43" s="4">
        <f t="shared" si="11"/>
        <v>59.967841875414841</v>
      </c>
      <c r="AB43">
        <v>109.58630417400001</v>
      </c>
      <c r="AC43" s="4">
        <f t="shared" si="12"/>
        <v>53.106989476205413</v>
      </c>
      <c r="AD43">
        <v>125.674631119</v>
      </c>
      <c r="AE43" s="4">
        <f t="shared" si="13"/>
        <v>60.903608006211272</v>
      </c>
      <c r="AF43">
        <v>123.724716673</v>
      </c>
      <c r="AG43" s="4">
        <f t="shared" si="14"/>
        <v>59.958653372110277</v>
      </c>
      <c r="AH43">
        <v>115.30872345100001</v>
      </c>
      <c r="AI43" s="4">
        <f t="shared" si="15"/>
        <v>55.880150434709357</v>
      </c>
      <c r="AJ43">
        <v>136.229195121</v>
      </c>
      <c r="AK43" s="4">
        <f t="shared" si="16"/>
        <v>66.018490961750686</v>
      </c>
      <c r="AL43">
        <v>127.839903842</v>
      </c>
      <c r="AM43" s="4">
        <f t="shared" si="17"/>
        <v>61.952928143250425</v>
      </c>
      <c r="AN43">
        <v>136.89617348199999</v>
      </c>
      <c r="AO43" s="4">
        <f t="shared" si="18"/>
        <v>66.341717600932185</v>
      </c>
      <c r="AP43">
        <v>135.565247777</v>
      </c>
      <c r="AQ43" s="4">
        <f t="shared" si="19"/>
        <v>65.696733193968171</v>
      </c>
      <c r="AR43">
        <v>141.51559924700001</v>
      </c>
      <c r="AS43" s="4">
        <f t="shared" si="20"/>
        <v>68.580353143366807</v>
      </c>
      <c r="AT43">
        <v>148.39955569399999</v>
      </c>
      <c r="AU43" s="4">
        <f t="shared" si="21"/>
        <v>71.91641055803251</v>
      </c>
      <c r="AV43">
        <v>133.651423948</v>
      </c>
      <c r="AW43" s="4">
        <f t="shared" si="22"/>
        <v>64.769268555826571</v>
      </c>
      <c r="AX43">
        <v>143.01321458300001</v>
      </c>
      <c r="AY43" s="4">
        <f t="shared" si="23"/>
        <v>69.306117576138192</v>
      </c>
      <c r="AZ43">
        <v>144.676830282</v>
      </c>
      <c r="BA43" s="4">
        <f t="shared" si="24"/>
        <v>70.112328006220423</v>
      </c>
      <c r="BB43">
        <v>130.584346302</v>
      </c>
      <c r="BC43" s="4">
        <f t="shared" si="25"/>
        <v>63.282921685234029</v>
      </c>
      <c r="BD43">
        <v>139.357026099</v>
      </c>
      <c r="BE43" s="4">
        <f t="shared" si="26"/>
        <v>67.534279710025729</v>
      </c>
      <c r="BF43">
        <v>134.77337599000001</v>
      </c>
      <c r="BG43" s="4">
        <f t="shared" si="27"/>
        <v>65.312981529235131</v>
      </c>
      <c r="BH43">
        <v>137.257048115</v>
      </c>
      <c r="BI43" s="4">
        <f t="shared" si="28"/>
        <v>66.516602277273961</v>
      </c>
      <c r="BJ43">
        <v>138.81817150000001</v>
      </c>
      <c r="BK43" s="4">
        <f t="shared" si="29"/>
        <v>67.273143560449412</v>
      </c>
      <c r="BL43">
        <v>137.285143855</v>
      </c>
      <c r="BM43" s="4">
        <f t="shared" si="30"/>
        <v>66.530217848852473</v>
      </c>
      <c r="BN43">
        <v>138.95269679800001</v>
      </c>
      <c r="BO43" s="4">
        <f t="shared" si="31"/>
        <v>67.33833632006494</v>
      </c>
      <c r="BP43">
        <v>137.39690256099999</v>
      </c>
      <c r="BQ43" s="4">
        <f t="shared" si="32"/>
        <v>66.584377613324435</v>
      </c>
      <c r="BR43">
        <v>138.189889913</v>
      </c>
      <c r="BS43" s="4">
        <f t="shared" si="33"/>
        <v>66.968669895784856</v>
      </c>
      <c r="BT43">
        <v>138.601552013</v>
      </c>
      <c r="BU43" s="4">
        <f t="shared" si="34"/>
        <v>67.168166858267867</v>
      </c>
      <c r="BV43">
        <v>123.342224591</v>
      </c>
      <c r="BW43" s="4">
        <f t="shared" si="35"/>
        <v>59.773292590700464</v>
      </c>
      <c r="BX43">
        <v>119.582417734</v>
      </c>
      <c r="BY43" s="4">
        <f t="shared" si="36"/>
        <v>57.951239874421006</v>
      </c>
      <c r="BZ43">
        <v>135.95598792600001</v>
      </c>
      <c r="CA43" s="4">
        <f t="shared" si="37"/>
        <v>65.88609109902103</v>
      </c>
      <c r="CB43">
        <v>152.212705605</v>
      </c>
      <c r="CC43" s="4">
        <f t="shared" si="38"/>
        <v>73.764314032112054</v>
      </c>
      <c r="CD43">
        <v>161.791293631</v>
      </c>
      <c r="CE43" s="4">
        <f t="shared" si="39"/>
        <v>78.406225969264312</v>
      </c>
    </row>
    <row r="44" spans="1:83" x14ac:dyDescent="0.2">
      <c r="A44" s="2">
        <v>42046</v>
      </c>
      <c r="B44">
        <v>2018</v>
      </c>
      <c r="C44">
        <v>6</v>
      </c>
      <c r="D44">
        <v>308.79354261200001</v>
      </c>
      <c r="E44" s="4">
        <f t="shared" si="0"/>
        <v>445.46729920438497</v>
      </c>
      <c r="F44">
        <v>289.45916435700002</v>
      </c>
      <c r="G44" s="4">
        <f t="shared" si="1"/>
        <v>417.57541652381713</v>
      </c>
      <c r="H44">
        <v>274.394268028</v>
      </c>
      <c r="I44" s="4">
        <f t="shared" si="2"/>
        <v>395.84271245329847</v>
      </c>
      <c r="J44">
        <v>348.71065284299999</v>
      </c>
      <c r="K44" s="4">
        <f t="shared" si="3"/>
        <v>503.05194665600004</v>
      </c>
      <c r="L44">
        <v>316.68273542999998</v>
      </c>
      <c r="M44" s="4">
        <f t="shared" si="4"/>
        <v>456.84829308077866</v>
      </c>
      <c r="N44">
        <v>350.38589429000001</v>
      </c>
      <c r="O44" s="4">
        <f t="shared" si="5"/>
        <v>505.46865937802744</v>
      </c>
      <c r="P44">
        <v>327.64591121400002</v>
      </c>
      <c r="Q44" s="4">
        <f t="shared" si="6"/>
        <v>472.66383205186992</v>
      </c>
      <c r="R44">
        <v>344.92476631400001</v>
      </c>
      <c r="S44" s="4">
        <f t="shared" si="7"/>
        <v>497.59040548223601</v>
      </c>
      <c r="T44">
        <v>336.46932815700001</v>
      </c>
      <c r="U44" s="4">
        <f t="shared" si="8"/>
        <v>485.39254289894598</v>
      </c>
      <c r="V44">
        <v>343.30214000699999</v>
      </c>
      <c r="W44" s="4">
        <f t="shared" si="9"/>
        <v>495.24959565673549</v>
      </c>
      <c r="X44">
        <v>360.79023481500002</v>
      </c>
      <c r="Y44" s="4">
        <f t="shared" si="10"/>
        <v>520.47801946525612</v>
      </c>
      <c r="Z44">
        <v>343.45188115000002</v>
      </c>
      <c r="AA44" s="4">
        <f t="shared" si="11"/>
        <v>495.46561307079071</v>
      </c>
      <c r="AB44">
        <v>348.13821220900002</v>
      </c>
      <c r="AC44" s="4">
        <f t="shared" si="12"/>
        <v>502.22614058173497</v>
      </c>
      <c r="AD44">
        <v>318.85916784199998</v>
      </c>
      <c r="AE44" s="4">
        <f t="shared" si="13"/>
        <v>459.98802670433031</v>
      </c>
      <c r="AF44">
        <v>313.196453566</v>
      </c>
      <c r="AG44" s="4">
        <f t="shared" si="14"/>
        <v>451.8189632797579</v>
      </c>
      <c r="AH44">
        <v>350.73751115300001</v>
      </c>
      <c r="AI44" s="4">
        <f t="shared" si="15"/>
        <v>505.97590383978144</v>
      </c>
      <c r="AJ44">
        <v>302.04858157299998</v>
      </c>
      <c r="AK44" s="4">
        <f t="shared" si="16"/>
        <v>435.73698052004153</v>
      </c>
      <c r="AL44">
        <v>295.94678829999998</v>
      </c>
      <c r="AM44" s="4">
        <f t="shared" si="17"/>
        <v>426.93449926789259</v>
      </c>
      <c r="AN44">
        <v>316.87339353800002</v>
      </c>
      <c r="AO44" s="4">
        <f t="shared" si="18"/>
        <v>457.12333753839192</v>
      </c>
      <c r="AP44">
        <v>307.81698181199999</v>
      </c>
      <c r="AQ44" s="4">
        <f t="shared" si="19"/>
        <v>444.05850710852343</v>
      </c>
      <c r="AR44">
        <v>291.391797064</v>
      </c>
      <c r="AS44" s="4">
        <f t="shared" si="20"/>
        <v>420.36344332340309</v>
      </c>
      <c r="AT44">
        <v>370.59115482499999</v>
      </c>
      <c r="AU44" s="4">
        <f t="shared" si="21"/>
        <v>534.61688172786103</v>
      </c>
      <c r="AV44">
        <v>365.506343835</v>
      </c>
      <c r="AW44" s="4">
        <f t="shared" si="22"/>
        <v>527.28150483001514</v>
      </c>
      <c r="AX44">
        <v>330.12158680499999</v>
      </c>
      <c r="AY44" s="4">
        <f t="shared" si="23"/>
        <v>476.23525556643051</v>
      </c>
      <c r="AZ44">
        <v>345.58685016200002</v>
      </c>
      <c r="BA44" s="4">
        <f t="shared" si="24"/>
        <v>498.54553136058382</v>
      </c>
      <c r="BB44">
        <v>376.76106453599999</v>
      </c>
      <c r="BC44" s="4">
        <f t="shared" si="25"/>
        <v>543.51762813610947</v>
      </c>
      <c r="BD44">
        <v>367.15635802499997</v>
      </c>
      <c r="BE44" s="4">
        <f t="shared" si="26"/>
        <v>529.66182456938145</v>
      </c>
      <c r="BF44">
        <v>429.65257123800001</v>
      </c>
      <c r="BG44" s="4">
        <f t="shared" si="27"/>
        <v>619.81921281981386</v>
      </c>
      <c r="BH44">
        <v>412.34993697700003</v>
      </c>
      <c r="BI44" s="4">
        <f t="shared" si="28"/>
        <v>594.85833543821082</v>
      </c>
      <c r="BJ44">
        <v>370.59034918200001</v>
      </c>
      <c r="BK44" s="4">
        <f t="shared" si="29"/>
        <v>534.61571950274356</v>
      </c>
      <c r="BL44">
        <v>415.42666099000002</v>
      </c>
      <c r="BM44" s="4">
        <f t="shared" si="30"/>
        <v>599.29683478270817</v>
      </c>
      <c r="BN44">
        <v>415.55986837299997</v>
      </c>
      <c r="BO44" s="4">
        <f t="shared" si="31"/>
        <v>599.48900050170982</v>
      </c>
      <c r="BP44">
        <v>407.905956726</v>
      </c>
      <c r="BQ44" s="4">
        <f t="shared" si="32"/>
        <v>588.44742456428094</v>
      </c>
      <c r="BR44">
        <v>423.10670757499997</v>
      </c>
      <c r="BS44" s="4">
        <f t="shared" si="33"/>
        <v>610.37611312850754</v>
      </c>
      <c r="BT44">
        <v>339.13658595499999</v>
      </c>
      <c r="BU44" s="4">
        <f t="shared" si="34"/>
        <v>489.24034398152833</v>
      </c>
      <c r="BV44">
        <v>351.87558794799997</v>
      </c>
      <c r="BW44" s="4">
        <f t="shared" si="35"/>
        <v>507.61769981733801</v>
      </c>
      <c r="BX44">
        <v>345.63519432300001</v>
      </c>
      <c r="BY44" s="4">
        <f t="shared" si="36"/>
        <v>498.61527291881328</v>
      </c>
      <c r="BZ44">
        <v>376.42423581700001</v>
      </c>
      <c r="CA44" s="4">
        <f t="shared" si="37"/>
        <v>543.03171713396159</v>
      </c>
      <c r="CB44">
        <v>409.34859275999997</v>
      </c>
      <c r="CC44" s="4">
        <f t="shared" si="38"/>
        <v>590.52857941086529</v>
      </c>
      <c r="CD44">
        <v>401.97326137200002</v>
      </c>
      <c r="CE44" s="4">
        <f t="shared" si="39"/>
        <v>579.88888491998057</v>
      </c>
    </row>
    <row r="45" spans="1:83" x14ac:dyDescent="0.2">
      <c r="A45" s="2">
        <v>42047</v>
      </c>
      <c r="B45">
        <v>2018</v>
      </c>
      <c r="C45">
        <v>7</v>
      </c>
      <c r="D45">
        <v>368.81507252500001</v>
      </c>
      <c r="E45" s="4">
        <f t="shared" si="0"/>
        <v>300.43218751990167</v>
      </c>
      <c r="F45">
        <v>358.080981243</v>
      </c>
      <c r="G45" s="4">
        <f t="shared" si="1"/>
        <v>291.68832978433971</v>
      </c>
      <c r="H45">
        <v>354.52354910700001</v>
      </c>
      <c r="I45" s="4">
        <f t="shared" si="2"/>
        <v>288.79048965200718</v>
      </c>
      <c r="J45">
        <v>373.90475558399999</v>
      </c>
      <c r="K45" s="4">
        <f t="shared" si="3"/>
        <v>304.57818026561489</v>
      </c>
      <c r="L45">
        <v>375.91920567599999</v>
      </c>
      <c r="M45" s="4">
        <f t="shared" si="4"/>
        <v>306.21912634638602</v>
      </c>
      <c r="N45">
        <v>350.75127792900003</v>
      </c>
      <c r="O45" s="4">
        <f t="shared" si="5"/>
        <v>285.71764429846485</v>
      </c>
      <c r="P45">
        <v>370.61824510899999</v>
      </c>
      <c r="Q45" s="4">
        <f t="shared" si="6"/>
        <v>301.90102956092289</v>
      </c>
      <c r="R45">
        <v>372.44232894300001</v>
      </c>
      <c r="S45" s="4">
        <f t="shared" si="7"/>
        <v>303.38690564705053</v>
      </c>
      <c r="T45">
        <v>330.34692715400001</v>
      </c>
      <c r="U45" s="4">
        <f t="shared" si="8"/>
        <v>269.09651301907246</v>
      </c>
      <c r="V45">
        <v>331.75654840999999</v>
      </c>
      <c r="W45" s="4">
        <f t="shared" si="9"/>
        <v>270.24477302540919</v>
      </c>
      <c r="X45">
        <v>354.174478518</v>
      </c>
      <c r="Y45" s="4">
        <f t="shared" si="10"/>
        <v>288.50614107608226</v>
      </c>
      <c r="Z45">
        <v>285.461002345</v>
      </c>
      <c r="AA45" s="4">
        <f t="shared" si="11"/>
        <v>232.53299492069647</v>
      </c>
      <c r="AB45">
        <v>271.71719598700003</v>
      </c>
      <c r="AC45" s="4">
        <f t="shared" si="12"/>
        <v>221.33746058226734</v>
      </c>
      <c r="AD45">
        <v>355.17776585600001</v>
      </c>
      <c r="AE45" s="4">
        <f t="shared" si="13"/>
        <v>289.32340650832924</v>
      </c>
      <c r="AF45">
        <v>285.81579542499998</v>
      </c>
      <c r="AG45" s="4">
        <f t="shared" si="14"/>
        <v>232.82200496687372</v>
      </c>
      <c r="AH45">
        <v>279.169123168</v>
      </c>
      <c r="AI45" s="4">
        <f t="shared" si="15"/>
        <v>227.40770811553506</v>
      </c>
      <c r="AJ45">
        <v>363.51608372200002</v>
      </c>
      <c r="AK45" s="4">
        <f t="shared" si="16"/>
        <v>296.11569690895777</v>
      </c>
      <c r="AL45">
        <v>311.82028436299998</v>
      </c>
      <c r="AM45" s="4">
        <f t="shared" si="17"/>
        <v>254.00493939385774</v>
      </c>
      <c r="AN45">
        <v>309.55774259899999</v>
      </c>
      <c r="AO45" s="4">
        <f t="shared" si="18"/>
        <v>252.16190091156366</v>
      </c>
      <c r="AP45">
        <v>360.89674901699999</v>
      </c>
      <c r="AQ45" s="4">
        <f t="shared" si="19"/>
        <v>293.98201931849917</v>
      </c>
      <c r="AR45">
        <v>331.14026068499999</v>
      </c>
      <c r="AS45" s="4">
        <f t="shared" si="20"/>
        <v>269.74275268200017</v>
      </c>
      <c r="AT45">
        <v>375.14197063300003</v>
      </c>
      <c r="AU45" s="4">
        <f t="shared" si="21"/>
        <v>305.58600031228184</v>
      </c>
      <c r="AV45">
        <v>308.38300703599998</v>
      </c>
      <c r="AW45" s="4">
        <f t="shared" si="22"/>
        <v>251.20497587991221</v>
      </c>
      <c r="AX45">
        <v>334.36802863399998</v>
      </c>
      <c r="AY45" s="4">
        <f t="shared" si="23"/>
        <v>272.37205245298219</v>
      </c>
      <c r="AZ45">
        <v>373.094039447</v>
      </c>
      <c r="BA45" s="4">
        <f t="shared" si="24"/>
        <v>303.91778094725436</v>
      </c>
      <c r="BB45">
        <v>430.86908625699999</v>
      </c>
      <c r="BC45" s="4">
        <f t="shared" si="25"/>
        <v>350.98061809856534</v>
      </c>
      <c r="BD45">
        <v>415.70997904799998</v>
      </c>
      <c r="BE45" s="4">
        <f t="shared" si="26"/>
        <v>338.63219722609711</v>
      </c>
      <c r="BF45">
        <v>467.9329214</v>
      </c>
      <c r="BG45" s="4">
        <f t="shared" si="27"/>
        <v>381.17235889064943</v>
      </c>
      <c r="BH45">
        <v>453.253346443</v>
      </c>
      <c r="BI45" s="4">
        <f t="shared" si="28"/>
        <v>369.21455904803338</v>
      </c>
      <c r="BJ45">
        <v>402.03162336899999</v>
      </c>
      <c r="BK45" s="4">
        <f t="shared" si="29"/>
        <v>327.48997819968065</v>
      </c>
      <c r="BL45">
        <v>458.910040391</v>
      </c>
      <c r="BM45" s="4">
        <f t="shared" si="30"/>
        <v>373.82243183721562</v>
      </c>
      <c r="BN45">
        <v>486.55962754299998</v>
      </c>
      <c r="BO45" s="4">
        <f t="shared" si="31"/>
        <v>396.34544288236333</v>
      </c>
      <c r="BP45">
        <v>485.68337059599997</v>
      </c>
      <c r="BQ45" s="4">
        <f t="shared" si="32"/>
        <v>395.63165483239453</v>
      </c>
      <c r="BR45">
        <v>424.51408863299997</v>
      </c>
      <c r="BS45" s="4">
        <f t="shared" si="33"/>
        <v>345.80391578867619</v>
      </c>
      <c r="BT45">
        <v>377.865036003</v>
      </c>
      <c r="BU45" s="4">
        <f t="shared" si="34"/>
        <v>307.80417561696203</v>
      </c>
      <c r="BV45">
        <v>364.56715727099999</v>
      </c>
      <c r="BW45" s="4">
        <f t="shared" si="35"/>
        <v>296.97188839649237</v>
      </c>
      <c r="BX45">
        <v>322.27076243900001</v>
      </c>
      <c r="BY45" s="4">
        <f t="shared" si="36"/>
        <v>262.51776932650273</v>
      </c>
      <c r="BZ45">
        <v>376.818515768</v>
      </c>
      <c r="CA45" s="4">
        <f t="shared" si="37"/>
        <v>306.95169320258458</v>
      </c>
      <c r="CB45">
        <v>414.42419530299998</v>
      </c>
      <c r="CC45" s="4">
        <f t="shared" si="38"/>
        <v>337.58481372155853</v>
      </c>
      <c r="CD45">
        <v>430.194345005</v>
      </c>
      <c r="CE45" s="4">
        <f t="shared" si="39"/>
        <v>350.43098223645035</v>
      </c>
    </row>
    <row r="46" spans="1:83" x14ac:dyDescent="0.2">
      <c r="A46" s="2">
        <v>42048</v>
      </c>
      <c r="B46">
        <v>2018</v>
      </c>
      <c r="C46">
        <v>8</v>
      </c>
      <c r="D46">
        <v>446.78482818399999</v>
      </c>
      <c r="E46" s="4">
        <f t="shared" si="0"/>
        <v>401.28199304730424</v>
      </c>
      <c r="F46">
        <v>467.74915791500001</v>
      </c>
      <c r="G46" s="4">
        <f t="shared" si="1"/>
        <v>420.11120900692043</v>
      </c>
      <c r="H46">
        <v>434.97072697300001</v>
      </c>
      <c r="I46" s="4">
        <f t="shared" si="2"/>
        <v>390.67109988138805</v>
      </c>
      <c r="J46">
        <v>429.85913562500002</v>
      </c>
      <c r="K46" s="4">
        <f t="shared" si="3"/>
        <v>386.08009894676354</v>
      </c>
      <c r="L46">
        <v>412.47519731900002</v>
      </c>
      <c r="M46" s="4">
        <f t="shared" si="4"/>
        <v>370.46662917251643</v>
      </c>
      <c r="N46">
        <v>416.59581945899998</v>
      </c>
      <c r="O46" s="4">
        <f t="shared" si="5"/>
        <v>374.16758623422999</v>
      </c>
      <c r="P46">
        <v>415.58217667100001</v>
      </c>
      <c r="Q46" s="4">
        <f t="shared" si="6"/>
        <v>373.25717797381532</v>
      </c>
      <c r="R46">
        <v>423.73387575300001</v>
      </c>
      <c r="S46" s="4">
        <f t="shared" si="7"/>
        <v>380.57866663680926</v>
      </c>
      <c r="T46">
        <v>397.79081678400001</v>
      </c>
      <c r="U46" s="4">
        <f t="shared" si="8"/>
        <v>357.27778050077262</v>
      </c>
      <c r="V46">
        <v>446.50153874400002</v>
      </c>
      <c r="W46" s="4">
        <f t="shared" si="9"/>
        <v>401.02755524207589</v>
      </c>
      <c r="X46">
        <v>433.23834801200002</v>
      </c>
      <c r="Y46" s="4">
        <f t="shared" si="10"/>
        <v>389.11515518870704</v>
      </c>
      <c r="Z46">
        <v>405.15567969799997</v>
      </c>
      <c r="AA46" s="4">
        <f t="shared" si="11"/>
        <v>363.89256838572061</v>
      </c>
      <c r="AB46">
        <v>431.61175108999998</v>
      </c>
      <c r="AC46" s="4">
        <f t="shared" si="12"/>
        <v>387.65421915514059</v>
      </c>
      <c r="AD46">
        <v>456.74417782</v>
      </c>
      <c r="AE46" s="4">
        <f t="shared" si="13"/>
        <v>410.22703195480972</v>
      </c>
      <c r="AF46">
        <v>410.518764992</v>
      </c>
      <c r="AG46" s="4">
        <f t="shared" si="14"/>
        <v>368.70944984610162</v>
      </c>
      <c r="AH46">
        <v>429.30931807899998</v>
      </c>
      <c r="AI46" s="4">
        <f t="shared" si="15"/>
        <v>385.58627761095846</v>
      </c>
      <c r="AJ46">
        <v>477.08785724199998</v>
      </c>
      <c r="AK46" s="4">
        <f t="shared" si="16"/>
        <v>428.49880778380805</v>
      </c>
      <c r="AL46">
        <v>450.17283630700001</v>
      </c>
      <c r="AM46" s="4">
        <f t="shared" si="17"/>
        <v>404.32494922283934</v>
      </c>
      <c r="AN46">
        <v>465.504262928</v>
      </c>
      <c r="AO46" s="4">
        <f t="shared" si="18"/>
        <v>418.09494552226539</v>
      </c>
      <c r="AP46">
        <v>478.95192479000002</v>
      </c>
      <c r="AQ46" s="4">
        <f t="shared" si="19"/>
        <v>430.17302922923324</v>
      </c>
      <c r="AR46">
        <v>471.51960042299999</v>
      </c>
      <c r="AS46" s="4">
        <f t="shared" si="20"/>
        <v>423.49765050814659</v>
      </c>
      <c r="AT46">
        <v>540.24076989399998</v>
      </c>
      <c r="AU46" s="4">
        <f t="shared" si="21"/>
        <v>485.21990719701415</v>
      </c>
      <c r="AV46">
        <v>481.30105972699999</v>
      </c>
      <c r="AW46" s="4">
        <f t="shared" si="22"/>
        <v>432.28291633817548</v>
      </c>
      <c r="AX46">
        <v>488.02115441299998</v>
      </c>
      <c r="AY46" s="4">
        <f t="shared" si="23"/>
        <v>438.3186024648183</v>
      </c>
      <c r="AZ46">
        <v>551.72510815099997</v>
      </c>
      <c r="BA46" s="4">
        <f t="shared" si="24"/>
        <v>495.53462214230422</v>
      </c>
      <c r="BB46">
        <v>519.91969203400004</v>
      </c>
      <c r="BC46" s="4">
        <f t="shared" si="25"/>
        <v>466.96843107219831</v>
      </c>
      <c r="BD46">
        <v>535.07388591200004</v>
      </c>
      <c r="BE46" s="4">
        <f t="shared" si="26"/>
        <v>480.57924491094553</v>
      </c>
      <c r="BF46">
        <v>587.086680409</v>
      </c>
      <c r="BG46" s="4">
        <f t="shared" si="27"/>
        <v>527.29479235813938</v>
      </c>
      <c r="BH46">
        <v>581.90340900499996</v>
      </c>
      <c r="BI46" s="4">
        <f t="shared" si="28"/>
        <v>522.6394116283227</v>
      </c>
      <c r="BJ46">
        <v>553.67459392699993</v>
      </c>
      <c r="BK46" s="4">
        <f t="shared" si="29"/>
        <v>497.28556238973908</v>
      </c>
      <c r="BL46">
        <v>584.91280936199996</v>
      </c>
      <c r="BM46" s="4">
        <f t="shared" si="30"/>
        <v>525.34231937486084</v>
      </c>
      <c r="BN46">
        <v>597.54299116599998</v>
      </c>
      <c r="BO46" s="4">
        <f t="shared" si="31"/>
        <v>536.68617934311305</v>
      </c>
      <c r="BP46">
        <v>580.81655312600003</v>
      </c>
      <c r="BQ46" s="4">
        <f t="shared" si="32"/>
        <v>521.66324666978335</v>
      </c>
      <c r="BR46">
        <v>587.86980149700003</v>
      </c>
      <c r="BS46" s="4">
        <f t="shared" si="33"/>
        <v>527.9981564187932</v>
      </c>
      <c r="BT46">
        <v>460.49773168500002</v>
      </c>
      <c r="BU46" s="4">
        <f t="shared" si="34"/>
        <v>413.59830483817922</v>
      </c>
      <c r="BV46">
        <v>499.57368802100001</v>
      </c>
      <c r="BW46" s="4">
        <f t="shared" si="35"/>
        <v>448.69456740034883</v>
      </c>
      <c r="BX46">
        <v>487.09040877500001</v>
      </c>
      <c r="BY46" s="4">
        <f t="shared" si="36"/>
        <v>437.48264868779592</v>
      </c>
      <c r="BZ46">
        <v>548.94084645600003</v>
      </c>
      <c r="CA46" s="4">
        <f t="shared" si="37"/>
        <v>493.03392379344552</v>
      </c>
      <c r="CB46">
        <v>587.95194050500004</v>
      </c>
      <c r="CC46" s="4">
        <f t="shared" si="38"/>
        <v>528.07192997321567</v>
      </c>
      <c r="CD46">
        <v>570.04465291999998</v>
      </c>
      <c r="CE46" s="4">
        <f t="shared" si="39"/>
        <v>511.98841146747827</v>
      </c>
    </row>
    <row r="47" spans="1:83" x14ac:dyDescent="0.2">
      <c r="A47" s="2">
        <v>42049</v>
      </c>
      <c r="B47">
        <v>2018</v>
      </c>
      <c r="C47">
        <v>9</v>
      </c>
      <c r="D47">
        <v>443.158053397</v>
      </c>
      <c r="E47" s="4">
        <f t="shared" si="0"/>
        <v>416.73415755355751</v>
      </c>
      <c r="F47">
        <v>444.73671246100002</v>
      </c>
      <c r="G47" s="4">
        <f t="shared" si="1"/>
        <v>418.21868694449915</v>
      </c>
      <c r="H47">
        <v>462.57130240800001</v>
      </c>
      <c r="I47" s="4">
        <f t="shared" si="2"/>
        <v>434.98986544369262</v>
      </c>
      <c r="J47">
        <v>383.43429373999999</v>
      </c>
      <c r="K47" s="4">
        <f t="shared" si="3"/>
        <v>360.57150751074204</v>
      </c>
      <c r="L47">
        <v>371.67998457800002</v>
      </c>
      <c r="M47" s="4">
        <f t="shared" si="4"/>
        <v>349.51806486493751</v>
      </c>
      <c r="N47">
        <v>407.18922043700002</v>
      </c>
      <c r="O47" s="4">
        <f t="shared" si="5"/>
        <v>382.91001470684716</v>
      </c>
      <c r="P47">
        <v>323.04269979899999</v>
      </c>
      <c r="Q47" s="4">
        <f t="shared" si="6"/>
        <v>303.78084370264634</v>
      </c>
      <c r="R47">
        <v>393.92813968500002</v>
      </c>
      <c r="S47" s="4">
        <f t="shared" si="7"/>
        <v>370.43964375663523</v>
      </c>
      <c r="T47">
        <v>358.75127505900002</v>
      </c>
      <c r="U47" s="4">
        <f t="shared" si="8"/>
        <v>337.36024706527212</v>
      </c>
      <c r="V47">
        <v>346.01164390700001</v>
      </c>
      <c r="W47" s="4">
        <f t="shared" si="9"/>
        <v>325.38023358029608</v>
      </c>
      <c r="X47">
        <v>410.01795100999999</v>
      </c>
      <c r="Y47" s="4">
        <f t="shared" si="10"/>
        <v>385.57007840928674</v>
      </c>
      <c r="Z47">
        <v>351.401593203</v>
      </c>
      <c r="AA47" s="4">
        <f t="shared" si="11"/>
        <v>330.44879988955535</v>
      </c>
      <c r="AB47">
        <v>343.22085426899997</v>
      </c>
      <c r="AC47" s="4">
        <f t="shared" si="12"/>
        <v>322.75584853350273</v>
      </c>
      <c r="AD47">
        <v>436.50505448799998</v>
      </c>
      <c r="AE47" s="4">
        <f t="shared" si="13"/>
        <v>410.47785266573209</v>
      </c>
      <c r="AF47">
        <v>395.10191963199998</v>
      </c>
      <c r="AG47" s="4">
        <f t="shared" si="14"/>
        <v>371.54343549327797</v>
      </c>
      <c r="AH47">
        <v>374.38146258400002</v>
      </c>
      <c r="AI47" s="4">
        <f t="shared" si="15"/>
        <v>352.05846360608672</v>
      </c>
      <c r="AJ47">
        <v>471.64274691600002</v>
      </c>
      <c r="AK47" s="4">
        <f t="shared" si="16"/>
        <v>443.52041285416379</v>
      </c>
      <c r="AL47">
        <v>430.84004545099998</v>
      </c>
      <c r="AM47" s="4">
        <f t="shared" si="17"/>
        <v>405.15062742302035</v>
      </c>
      <c r="AN47">
        <v>420.939959531</v>
      </c>
      <c r="AO47" s="4">
        <f t="shared" si="18"/>
        <v>395.84084746087433</v>
      </c>
      <c r="AP47">
        <v>493.11496640199999</v>
      </c>
      <c r="AQ47" s="4">
        <f t="shared" si="19"/>
        <v>463.71232233140643</v>
      </c>
      <c r="AR47">
        <v>451.71801759499999</v>
      </c>
      <c r="AS47" s="4">
        <f t="shared" si="20"/>
        <v>424.78372235644844</v>
      </c>
      <c r="AT47">
        <v>428.36698675700001</v>
      </c>
      <c r="AU47" s="4">
        <f t="shared" si="21"/>
        <v>402.82502818472483</v>
      </c>
      <c r="AV47">
        <v>412.82502317699999</v>
      </c>
      <c r="AW47" s="4">
        <f t="shared" si="22"/>
        <v>388.20977511735674</v>
      </c>
      <c r="AX47">
        <v>438.28270864699999</v>
      </c>
      <c r="AY47" s="4">
        <f t="shared" si="23"/>
        <v>412.14951180109881</v>
      </c>
      <c r="AZ47">
        <v>463.177186479</v>
      </c>
      <c r="BA47" s="4">
        <f t="shared" si="24"/>
        <v>435.55962286086657</v>
      </c>
      <c r="BB47">
        <v>355.688285834</v>
      </c>
      <c r="BC47" s="4">
        <f t="shared" si="25"/>
        <v>334.47989269849154</v>
      </c>
      <c r="BD47">
        <v>368.04831027099999</v>
      </c>
      <c r="BE47" s="4">
        <f t="shared" si="26"/>
        <v>346.10293403015891</v>
      </c>
      <c r="BF47">
        <v>371.147452837</v>
      </c>
      <c r="BG47" s="4">
        <f t="shared" si="27"/>
        <v>349.01728604628573</v>
      </c>
      <c r="BH47">
        <v>381.41346261500001</v>
      </c>
      <c r="BI47" s="4">
        <f t="shared" si="28"/>
        <v>358.67117116351915</v>
      </c>
      <c r="BJ47">
        <v>402.24368049700001</v>
      </c>
      <c r="BK47" s="4">
        <f t="shared" si="29"/>
        <v>378.25935924714133</v>
      </c>
      <c r="BL47">
        <v>405.490594853</v>
      </c>
      <c r="BM47" s="4">
        <f t="shared" si="30"/>
        <v>381.31267196124884</v>
      </c>
      <c r="BN47">
        <v>395.57259558700002</v>
      </c>
      <c r="BO47" s="4">
        <f t="shared" si="31"/>
        <v>371.98604676048637</v>
      </c>
      <c r="BP47">
        <v>414.62118147699999</v>
      </c>
      <c r="BQ47" s="4">
        <f t="shared" si="32"/>
        <v>389.8988350593923</v>
      </c>
      <c r="BR47">
        <v>412.18917654299997</v>
      </c>
      <c r="BS47" s="4">
        <f t="shared" si="33"/>
        <v>387.6118416953596</v>
      </c>
      <c r="BT47">
        <v>353.00104810699997</v>
      </c>
      <c r="BU47" s="4">
        <f t="shared" si="34"/>
        <v>331.95288514052606</v>
      </c>
      <c r="BV47">
        <v>376.35050296399999</v>
      </c>
      <c r="BW47" s="4">
        <f t="shared" si="35"/>
        <v>353.91009730123955</v>
      </c>
      <c r="BX47">
        <v>382.864836223</v>
      </c>
      <c r="BY47" s="4">
        <f t="shared" si="36"/>
        <v>360.0360046652213</v>
      </c>
      <c r="BZ47">
        <v>402.88933277299998</v>
      </c>
      <c r="CA47" s="4">
        <f t="shared" si="37"/>
        <v>378.86651363652652</v>
      </c>
      <c r="CB47">
        <v>460.50457956000002</v>
      </c>
      <c r="CC47" s="4">
        <f t="shared" si="38"/>
        <v>433.0463737292672</v>
      </c>
      <c r="CD47">
        <v>462.70729351699998</v>
      </c>
      <c r="CE47" s="4">
        <f t="shared" si="39"/>
        <v>435.11774789964591</v>
      </c>
    </row>
    <row r="48" spans="1:83" x14ac:dyDescent="0.2">
      <c r="A48" s="2">
        <v>42050</v>
      </c>
      <c r="B48">
        <v>2018</v>
      </c>
      <c r="C48">
        <v>10</v>
      </c>
      <c r="D48">
        <v>125.230278971</v>
      </c>
      <c r="E48" s="4">
        <f t="shared" si="0"/>
        <v>84.954513933971342</v>
      </c>
      <c r="F48">
        <v>124.881349083</v>
      </c>
      <c r="G48" s="4">
        <f t="shared" si="1"/>
        <v>84.717804655068122</v>
      </c>
      <c r="H48">
        <v>127.72879505</v>
      </c>
      <c r="I48" s="4">
        <f t="shared" si="2"/>
        <v>86.649473178586703</v>
      </c>
      <c r="J48">
        <v>123.15252447</v>
      </c>
      <c r="K48" s="4">
        <f t="shared" si="3"/>
        <v>83.54499360744191</v>
      </c>
      <c r="L48">
        <v>140.320140842</v>
      </c>
      <c r="M48" s="4">
        <f t="shared" si="4"/>
        <v>95.191270500475824</v>
      </c>
      <c r="N48">
        <v>121.819929591</v>
      </c>
      <c r="O48" s="4">
        <f t="shared" si="5"/>
        <v>82.640979409385537</v>
      </c>
      <c r="P48">
        <v>124.323570483</v>
      </c>
      <c r="Q48" s="4">
        <f t="shared" si="6"/>
        <v>84.339415257271241</v>
      </c>
      <c r="R48">
        <v>126.29728698300001</v>
      </c>
      <c r="S48" s="4">
        <f t="shared" si="7"/>
        <v>85.678357622318515</v>
      </c>
      <c r="T48">
        <v>127.90693999299999</v>
      </c>
      <c r="U48" s="4">
        <f t="shared" si="8"/>
        <v>86.770324279188841</v>
      </c>
      <c r="V48">
        <v>125.916349416</v>
      </c>
      <c r="W48" s="4">
        <f t="shared" si="9"/>
        <v>85.419934770356576</v>
      </c>
      <c r="X48">
        <v>124.36826037599999</v>
      </c>
      <c r="Y48" s="4">
        <f t="shared" si="10"/>
        <v>84.369732271405297</v>
      </c>
      <c r="Z48">
        <v>120.904630181</v>
      </c>
      <c r="AA48" s="4">
        <f t="shared" si="11"/>
        <v>82.02005276832449</v>
      </c>
      <c r="AB48">
        <v>117.673039437</v>
      </c>
      <c r="AC48" s="4">
        <f t="shared" si="12"/>
        <v>79.827785665305285</v>
      </c>
      <c r="AD48">
        <v>130.46696521499999</v>
      </c>
      <c r="AE48" s="4">
        <f t="shared" si="13"/>
        <v>88.507010487833966</v>
      </c>
      <c r="AF48">
        <v>120.179796217</v>
      </c>
      <c r="AG48" s="4">
        <f t="shared" si="14"/>
        <v>81.528335289129913</v>
      </c>
      <c r="AH48">
        <v>120.006010532</v>
      </c>
      <c r="AI48" s="4">
        <f t="shared" si="15"/>
        <v>81.410441449723265</v>
      </c>
      <c r="AJ48">
        <v>126.508434784</v>
      </c>
      <c r="AK48" s="4">
        <f t="shared" si="16"/>
        <v>85.821597411845246</v>
      </c>
      <c r="AL48">
        <v>146.60959195999999</v>
      </c>
      <c r="AM48" s="4">
        <f t="shared" si="17"/>
        <v>99.457948392049431</v>
      </c>
      <c r="AN48">
        <v>128.218835359</v>
      </c>
      <c r="AO48" s="4">
        <f t="shared" si="18"/>
        <v>86.981909843275346</v>
      </c>
      <c r="AP48">
        <v>145.31968451099999</v>
      </c>
      <c r="AQ48" s="4">
        <f t="shared" si="19"/>
        <v>98.582892764528395</v>
      </c>
      <c r="AR48">
        <v>155.14609766199999</v>
      </c>
      <c r="AS48" s="4">
        <f t="shared" si="20"/>
        <v>105.24899747831654</v>
      </c>
      <c r="AT48">
        <v>138.082985165</v>
      </c>
      <c r="AU48" s="4">
        <f t="shared" si="21"/>
        <v>93.673614589334932</v>
      </c>
      <c r="AV48">
        <v>132.45345545500001</v>
      </c>
      <c r="AW48" s="4">
        <f t="shared" si="22"/>
        <v>89.854618383947184</v>
      </c>
      <c r="AX48">
        <v>134.23273134199999</v>
      </c>
      <c r="AY48" s="4">
        <f t="shared" si="23"/>
        <v>91.061654888030375</v>
      </c>
      <c r="AZ48">
        <v>130.77999234000001</v>
      </c>
      <c r="BA48" s="4">
        <f t="shared" si="24"/>
        <v>88.719363821796307</v>
      </c>
      <c r="BB48">
        <v>122.28083421300001</v>
      </c>
      <c r="BC48" s="4">
        <f t="shared" si="25"/>
        <v>82.953650821233126</v>
      </c>
      <c r="BD48">
        <v>132.68838929699999</v>
      </c>
      <c r="BE48" s="4">
        <f t="shared" si="26"/>
        <v>90.013994299402654</v>
      </c>
      <c r="BF48">
        <v>127.819308261</v>
      </c>
      <c r="BG48" s="4">
        <f t="shared" si="27"/>
        <v>86.710876106922342</v>
      </c>
      <c r="BH48">
        <v>123.020308736</v>
      </c>
      <c r="BI48" s="4">
        <f t="shared" si="28"/>
        <v>83.45530025605207</v>
      </c>
      <c r="BJ48">
        <v>136.05404424</v>
      </c>
      <c r="BK48" s="4">
        <f t="shared" si="29"/>
        <v>92.297208727266764</v>
      </c>
      <c r="BL48">
        <v>129.148018364</v>
      </c>
      <c r="BM48" s="4">
        <f t="shared" si="30"/>
        <v>87.612254925903173</v>
      </c>
      <c r="BN48">
        <v>139.52155923999999</v>
      </c>
      <c r="BO48" s="4">
        <f t="shared" si="31"/>
        <v>94.649523629096308</v>
      </c>
      <c r="BP48">
        <v>142.04505015300001</v>
      </c>
      <c r="BQ48" s="4">
        <f t="shared" si="32"/>
        <v>96.361425460604281</v>
      </c>
      <c r="BR48">
        <v>132.35654687499999</v>
      </c>
      <c r="BS48" s="4">
        <f t="shared" si="33"/>
        <v>89.788876924472831</v>
      </c>
      <c r="BT48">
        <v>128.83407807699999</v>
      </c>
      <c r="BU48" s="4">
        <f t="shared" si="34"/>
        <v>87.399282115289594</v>
      </c>
      <c r="BV48">
        <v>134.663669349</v>
      </c>
      <c r="BW48" s="4">
        <f t="shared" si="35"/>
        <v>91.35399735681014</v>
      </c>
      <c r="BX48">
        <v>134.37185001200001</v>
      </c>
      <c r="BY48" s="4">
        <f t="shared" si="36"/>
        <v>91.156031097091841</v>
      </c>
      <c r="BZ48">
        <v>135.28307867800001</v>
      </c>
      <c r="CA48" s="4">
        <f t="shared" si="37"/>
        <v>91.774196200921537</v>
      </c>
      <c r="CB48">
        <v>135.739058726</v>
      </c>
      <c r="CC48" s="4">
        <f t="shared" si="38"/>
        <v>92.08352684890643</v>
      </c>
      <c r="CD48">
        <v>135.30587911000001</v>
      </c>
      <c r="CE48" s="4">
        <f t="shared" si="39"/>
        <v>91.789663703141926</v>
      </c>
    </row>
    <row r="49" spans="1:83" x14ac:dyDescent="0.2">
      <c r="A49" s="2">
        <v>42051</v>
      </c>
      <c r="B49">
        <v>2018</v>
      </c>
      <c r="C49">
        <v>11</v>
      </c>
      <c r="D49">
        <v>28.562721249999999</v>
      </c>
      <c r="E49" s="4">
        <f t="shared" si="0"/>
        <v>40.75534800012877</v>
      </c>
      <c r="F49">
        <v>24.114261630000001</v>
      </c>
      <c r="G49" s="4">
        <f t="shared" si="1"/>
        <v>34.407965399893492</v>
      </c>
      <c r="H49">
        <v>32.726588249999999</v>
      </c>
      <c r="I49" s="4">
        <f t="shared" si="2"/>
        <v>46.696653351461578</v>
      </c>
      <c r="J49">
        <v>24.585785863000002</v>
      </c>
      <c r="K49" s="4">
        <f t="shared" si="3"/>
        <v>35.08077013856694</v>
      </c>
      <c r="L49">
        <v>40.454977030000002</v>
      </c>
      <c r="M49" s="4">
        <f t="shared" si="4"/>
        <v>57.724075124489964</v>
      </c>
      <c r="N49">
        <v>22.839212419999999</v>
      </c>
      <c r="O49" s="4">
        <f t="shared" si="5"/>
        <v>32.58863334760035</v>
      </c>
      <c r="P49">
        <v>19.565261359000001</v>
      </c>
      <c r="Q49" s="4">
        <f t="shared" si="6"/>
        <v>27.917124157051997</v>
      </c>
      <c r="R49">
        <v>21.721400265</v>
      </c>
      <c r="S49" s="4">
        <f t="shared" si="7"/>
        <v>30.993658450879021</v>
      </c>
      <c r="T49">
        <v>22.730743409999999</v>
      </c>
      <c r="U49" s="4">
        <f t="shared" si="8"/>
        <v>32.433861951307726</v>
      </c>
      <c r="V49">
        <v>19.378436569000002</v>
      </c>
      <c r="W49" s="4">
        <f t="shared" si="9"/>
        <v>27.650549090031696</v>
      </c>
      <c r="X49">
        <v>21.624044420000001</v>
      </c>
      <c r="Y49" s="4">
        <f t="shared" si="10"/>
        <v>30.854744118869373</v>
      </c>
      <c r="Z49">
        <v>22.930832380999998</v>
      </c>
      <c r="AA49" s="4">
        <f t="shared" si="11"/>
        <v>32.719363307173552</v>
      </c>
      <c r="AB49">
        <v>22.680550103000002</v>
      </c>
      <c r="AC49" s="4">
        <f t="shared" si="12"/>
        <v>32.362242525547927</v>
      </c>
      <c r="AD49">
        <v>19.589696880000002</v>
      </c>
      <c r="AE49" s="4">
        <f t="shared" si="13"/>
        <v>27.951990518460732</v>
      </c>
      <c r="AF49">
        <v>22.033357623000001</v>
      </c>
      <c r="AG49" s="4">
        <f t="shared" si="14"/>
        <v>31.438781678991987</v>
      </c>
      <c r="AH49">
        <v>15.977063414</v>
      </c>
      <c r="AI49" s="4">
        <f t="shared" si="15"/>
        <v>22.797224877783503</v>
      </c>
      <c r="AJ49">
        <v>20.803262712999999</v>
      </c>
      <c r="AK49" s="4">
        <f t="shared" si="16"/>
        <v>29.683593659914948</v>
      </c>
      <c r="AL49">
        <v>21.251958850000001</v>
      </c>
      <c r="AM49" s="4">
        <f t="shared" si="17"/>
        <v>30.323825626949549</v>
      </c>
      <c r="AN49">
        <v>13.983461622</v>
      </c>
      <c r="AO49" s="4">
        <f t="shared" si="18"/>
        <v>19.952610245463049</v>
      </c>
      <c r="AP49">
        <v>21.703174114999999</v>
      </c>
      <c r="AQ49" s="4">
        <f t="shared" si="19"/>
        <v>30.967652067262737</v>
      </c>
      <c r="AR49">
        <v>20.498226639999999</v>
      </c>
      <c r="AS49" s="4">
        <f t="shared" si="20"/>
        <v>29.248346219767498</v>
      </c>
      <c r="AT49">
        <v>13.662797926</v>
      </c>
      <c r="AU49" s="4">
        <f t="shared" si="21"/>
        <v>19.495064187190064</v>
      </c>
      <c r="AV49">
        <v>13.839049814999999</v>
      </c>
      <c r="AW49" s="4">
        <f t="shared" si="22"/>
        <v>19.746553077516822</v>
      </c>
      <c r="AX49">
        <v>20.81437683</v>
      </c>
      <c r="AY49" s="4">
        <f t="shared" si="23"/>
        <v>29.699452082580091</v>
      </c>
      <c r="AZ49">
        <v>19.025481702</v>
      </c>
      <c r="BA49" s="4">
        <f t="shared" si="24"/>
        <v>27.146927663101856</v>
      </c>
      <c r="BB49">
        <v>14.193483353</v>
      </c>
      <c r="BC49" s="4">
        <f t="shared" si="25"/>
        <v>20.252284378735432</v>
      </c>
      <c r="BD49">
        <v>15.651798243</v>
      </c>
      <c r="BE49" s="4">
        <f t="shared" si="26"/>
        <v>22.333113103544679</v>
      </c>
      <c r="BF49">
        <v>12.861737967</v>
      </c>
      <c r="BG49" s="4">
        <f t="shared" si="27"/>
        <v>18.352054138803521</v>
      </c>
      <c r="BH49">
        <v>13.203224658</v>
      </c>
      <c r="BI49" s="4">
        <f t="shared" si="28"/>
        <v>18.83931194618479</v>
      </c>
      <c r="BJ49">
        <v>17.39487123</v>
      </c>
      <c r="BK49" s="4">
        <f t="shared" si="29"/>
        <v>24.820255191759014</v>
      </c>
      <c r="BL49">
        <v>15.332487345000001</v>
      </c>
      <c r="BM49" s="4">
        <f t="shared" si="30"/>
        <v>21.877497314897663</v>
      </c>
      <c r="BN49">
        <v>18.573499207000001</v>
      </c>
      <c r="BO49" s="4">
        <f t="shared" si="31"/>
        <v>26.502006483762496</v>
      </c>
      <c r="BP49">
        <v>15.804188728</v>
      </c>
      <c r="BQ49" s="4">
        <f t="shared" si="32"/>
        <v>22.550554823950904</v>
      </c>
      <c r="BR49">
        <v>14.119002819</v>
      </c>
      <c r="BS49" s="4">
        <f t="shared" si="33"/>
        <v>20.146010188127441</v>
      </c>
      <c r="BT49">
        <v>16.827929258000001</v>
      </c>
      <c r="BU49" s="4">
        <f t="shared" si="34"/>
        <v>24.011301550314951</v>
      </c>
      <c r="BV49">
        <v>19.922004224999998</v>
      </c>
      <c r="BW49" s="4">
        <f t="shared" si="35"/>
        <v>28.426150573797678</v>
      </c>
      <c r="BX49">
        <v>20.912919519999999</v>
      </c>
      <c r="BY49" s="4">
        <f t="shared" si="36"/>
        <v>29.840059890522017</v>
      </c>
      <c r="BZ49">
        <v>17.353075745000002</v>
      </c>
      <c r="CA49" s="4">
        <f t="shared" si="37"/>
        <v>24.760618383308589</v>
      </c>
      <c r="CB49">
        <v>16.661793231000001</v>
      </c>
      <c r="CC49" s="4">
        <f t="shared" si="38"/>
        <v>23.774246700516848</v>
      </c>
      <c r="CD49">
        <v>21.670852184000001</v>
      </c>
      <c r="CE49" s="4">
        <f t="shared" si="39"/>
        <v>30.921532808022299</v>
      </c>
    </row>
    <row r="50" spans="1:83" x14ac:dyDescent="0.2">
      <c r="A50" s="2">
        <v>42052</v>
      </c>
      <c r="B50">
        <v>2018</v>
      </c>
      <c r="C50">
        <v>12</v>
      </c>
      <c r="D50">
        <v>120.290520427</v>
      </c>
      <c r="E50" s="4">
        <f t="shared" si="0"/>
        <v>14.291770207993446</v>
      </c>
      <c r="F50">
        <v>125.284366605</v>
      </c>
      <c r="G50" s="4">
        <f t="shared" si="1"/>
        <v>14.885091292453753</v>
      </c>
      <c r="H50">
        <v>151.06526589399999</v>
      </c>
      <c r="I50" s="4">
        <f t="shared" si="2"/>
        <v>17.948131398073809</v>
      </c>
      <c r="J50">
        <v>130.43908523600001</v>
      </c>
      <c r="K50" s="4">
        <f t="shared" si="3"/>
        <v>15.497525704572057</v>
      </c>
      <c r="L50">
        <v>187.73037815500001</v>
      </c>
      <c r="M50" s="4">
        <f t="shared" si="4"/>
        <v>22.304329685556468</v>
      </c>
      <c r="N50">
        <v>108.717473274</v>
      </c>
      <c r="O50" s="4">
        <f t="shared" si="5"/>
        <v>12.916771330859785</v>
      </c>
      <c r="P50">
        <v>49.632615209000001</v>
      </c>
      <c r="Q50" s="4">
        <f t="shared" si="6"/>
        <v>5.8968730775361502</v>
      </c>
      <c r="R50">
        <v>98.564163196999999</v>
      </c>
      <c r="S50" s="4">
        <f t="shared" si="7"/>
        <v>11.710452046880549</v>
      </c>
      <c r="T50">
        <v>84.232551576999995</v>
      </c>
      <c r="U50" s="4">
        <f t="shared" si="8"/>
        <v>10.007706899081898</v>
      </c>
      <c r="V50">
        <v>60.401333338000001</v>
      </c>
      <c r="W50" s="4">
        <f t="shared" si="9"/>
        <v>7.1763092657578138</v>
      </c>
      <c r="X50">
        <v>118.180335051</v>
      </c>
      <c r="Y50" s="4">
        <f t="shared" si="10"/>
        <v>14.041058145372</v>
      </c>
      <c r="Z50">
        <v>100.029917477</v>
      </c>
      <c r="AA50" s="4">
        <f t="shared" si="11"/>
        <v>11.884598964499512</v>
      </c>
      <c r="AB50">
        <v>55.609026782000001</v>
      </c>
      <c r="AC50" s="4">
        <f t="shared" si="12"/>
        <v>6.6069331933832922</v>
      </c>
      <c r="AD50">
        <v>132.991732595</v>
      </c>
      <c r="AE50" s="4">
        <f t="shared" si="13"/>
        <v>15.800806872093556</v>
      </c>
      <c r="AF50">
        <v>92.60233439000001</v>
      </c>
      <c r="AG50" s="4">
        <f t="shared" si="14"/>
        <v>11.002124515944747</v>
      </c>
      <c r="AH50">
        <v>56.835824008999992</v>
      </c>
      <c r="AI50" s="4">
        <f t="shared" si="15"/>
        <v>6.7526895173051562</v>
      </c>
      <c r="AJ50">
        <v>96.890004868999995</v>
      </c>
      <c r="AK50" s="4">
        <f t="shared" si="16"/>
        <v>11.511544551671108</v>
      </c>
      <c r="AL50">
        <v>71.868050216</v>
      </c>
      <c r="AM50" s="4">
        <f t="shared" si="17"/>
        <v>8.5386749956487975</v>
      </c>
      <c r="AN50">
        <v>55.268339269999998</v>
      </c>
      <c r="AO50" s="4">
        <f t="shared" si="18"/>
        <v>6.5664559586273592</v>
      </c>
      <c r="AP50">
        <v>102.849790098</v>
      </c>
      <c r="AQ50" s="4">
        <f t="shared" si="19"/>
        <v>12.219629284196245</v>
      </c>
      <c r="AR50">
        <v>55.488736864000003</v>
      </c>
      <c r="AS50" s="4">
        <f t="shared" si="20"/>
        <v>6.5926414947499188</v>
      </c>
      <c r="AT50">
        <v>10.473750262999999</v>
      </c>
      <c r="AU50" s="4">
        <f t="shared" si="21"/>
        <v>1.2443909249320062</v>
      </c>
      <c r="AV50">
        <v>29.310261068999999</v>
      </c>
      <c r="AW50" s="4">
        <f t="shared" si="22"/>
        <v>3.4823651477063562</v>
      </c>
      <c r="AX50">
        <v>25.393148420999999</v>
      </c>
      <c r="AY50" s="4">
        <f t="shared" si="23"/>
        <v>3.016971252615392</v>
      </c>
      <c r="AZ50">
        <v>22.885746061999999</v>
      </c>
      <c r="BA50" s="4">
        <f t="shared" si="24"/>
        <v>2.7190656636578998</v>
      </c>
      <c r="BB50">
        <v>40.591634628999998</v>
      </c>
      <c r="BC50" s="4">
        <f t="shared" si="25"/>
        <v>4.8227101555899834</v>
      </c>
      <c r="BD50">
        <v>46.849180576999998</v>
      </c>
      <c r="BE50" s="4">
        <f t="shared" si="26"/>
        <v>5.5661719715112907</v>
      </c>
      <c r="BF50">
        <v>46.989053843000001</v>
      </c>
      <c r="BG50" s="4">
        <f t="shared" si="27"/>
        <v>5.5827903764264706</v>
      </c>
      <c r="BH50">
        <v>34.192857146000001</v>
      </c>
      <c r="BI50" s="4">
        <f t="shared" si="28"/>
        <v>4.0624685582097788</v>
      </c>
      <c r="BJ50">
        <v>23.058955909000002</v>
      </c>
      <c r="BK50" s="4">
        <f t="shared" si="29"/>
        <v>2.7396448025817191</v>
      </c>
      <c r="BL50">
        <v>18.628705441000001</v>
      </c>
      <c r="BM50" s="4">
        <f t="shared" si="30"/>
        <v>2.213284774977252</v>
      </c>
      <c r="BN50">
        <v>29.083214223999999</v>
      </c>
      <c r="BO50" s="4">
        <f t="shared" si="31"/>
        <v>3.4553896111165123</v>
      </c>
      <c r="BP50">
        <v>27.669120370000002</v>
      </c>
      <c r="BQ50" s="4">
        <f t="shared" si="32"/>
        <v>3.2873804916766436</v>
      </c>
      <c r="BR50">
        <v>2.099324465</v>
      </c>
      <c r="BS50" s="4">
        <f t="shared" si="33"/>
        <v>0.24942167295723491</v>
      </c>
      <c r="BT50">
        <v>52.225480081000001</v>
      </c>
      <c r="BU50" s="4">
        <f t="shared" si="34"/>
        <v>6.2049325056561795</v>
      </c>
      <c r="BV50">
        <v>28.253408072999999</v>
      </c>
      <c r="BW50" s="4">
        <f t="shared" si="35"/>
        <v>3.3567999734195952</v>
      </c>
      <c r="BX50">
        <v>19.668713093000001</v>
      </c>
      <c r="BY50" s="4">
        <f t="shared" si="36"/>
        <v>2.3368485464546476</v>
      </c>
      <c r="BZ50">
        <v>5.191156017</v>
      </c>
      <c r="CA50" s="4">
        <f t="shared" si="37"/>
        <v>0.61676355414747963</v>
      </c>
      <c r="CB50">
        <v>3.0247541509999998</v>
      </c>
      <c r="CC50" s="4">
        <f t="shared" si="38"/>
        <v>0.35937238535766824</v>
      </c>
      <c r="CD50">
        <v>3.2469977330000002</v>
      </c>
      <c r="CE50" s="4">
        <f t="shared" si="39"/>
        <v>0.38577724413515524</v>
      </c>
    </row>
    <row r="51" spans="1:83" x14ac:dyDescent="0.2">
      <c r="A51" s="2">
        <v>42053</v>
      </c>
      <c r="B51">
        <v>2019</v>
      </c>
      <c r="C51">
        <v>1</v>
      </c>
      <c r="D51">
        <v>59.315254209999999</v>
      </c>
      <c r="E51" s="4">
        <f t="shared" si="0"/>
        <v>132.59620140519513</v>
      </c>
      <c r="F51">
        <v>59.624916079999998</v>
      </c>
      <c r="G51" s="4">
        <f t="shared" si="1"/>
        <v>133.28843459594671</v>
      </c>
      <c r="H51">
        <v>78.226058960000003</v>
      </c>
      <c r="I51" s="4">
        <f t="shared" si="2"/>
        <v>174.870333224436</v>
      </c>
      <c r="J51">
        <v>64.755554200000006</v>
      </c>
      <c r="K51" s="4">
        <f t="shared" si="3"/>
        <v>144.75771234848142</v>
      </c>
      <c r="L51">
        <v>84.08545685</v>
      </c>
      <c r="M51" s="4">
        <f t="shared" si="4"/>
        <v>187.96871597746198</v>
      </c>
      <c r="N51">
        <v>63.004158019999998</v>
      </c>
      <c r="O51" s="4">
        <f t="shared" si="5"/>
        <v>140.84255622689778</v>
      </c>
      <c r="P51">
        <v>22.607135769999999</v>
      </c>
      <c r="Q51" s="4">
        <f t="shared" si="6"/>
        <v>50.537089787067629</v>
      </c>
      <c r="R51">
        <v>50.629936219999998</v>
      </c>
      <c r="S51" s="4">
        <f t="shared" si="7"/>
        <v>113.18061954841117</v>
      </c>
      <c r="T51">
        <v>34.169593810000002</v>
      </c>
      <c r="U51" s="4">
        <f t="shared" si="8"/>
        <v>76.384370312630736</v>
      </c>
      <c r="V51">
        <v>20.33885956</v>
      </c>
      <c r="W51" s="4">
        <f t="shared" si="9"/>
        <v>45.466474931082296</v>
      </c>
      <c r="X51">
        <v>46.481513980000003</v>
      </c>
      <c r="Y51" s="4">
        <f t="shared" si="10"/>
        <v>103.90703490016239</v>
      </c>
      <c r="Z51">
        <v>22.386676789999999</v>
      </c>
      <c r="AA51" s="4">
        <f t="shared" si="11"/>
        <v>50.044265071014479</v>
      </c>
      <c r="AB51">
        <v>4.4291353229999997</v>
      </c>
      <c r="AC51" s="4">
        <f t="shared" si="12"/>
        <v>9.901104313911226</v>
      </c>
      <c r="AD51">
        <v>42.687152859999998</v>
      </c>
      <c r="AE51" s="4">
        <f t="shared" si="13"/>
        <v>95.424935683486666</v>
      </c>
      <c r="AF51">
        <v>17.997695920000002</v>
      </c>
      <c r="AG51" s="4">
        <f t="shared" si="14"/>
        <v>40.232923972455133</v>
      </c>
      <c r="AH51">
        <v>0</v>
      </c>
      <c r="AI51" s="4">
        <f t="shared" si="15"/>
        <v>0</v>
      </c>
      <c r="AJ51">
        <v>43.799873349999999</v>
      </c>
      <c r="AK51" s="4">
        <f t="shared" si="16"/>
        <v>97.912365134220664</v>
      </c>
      <c r="AL51">
        <v>25.429859159999999</v>
      </c>
      <c r="AM51" s="4">
        <f t="shared" si="17"/>
        <v>56.847142809962619</v>
      </c>
      <c r="AN51">
        <v>12.207093240000001</v>
      </c>
      <c r="AO51" s="4">
        <f t="shared" si="18"/>
        <v>27.288329374640917</v>
      </c>
      <c r="AP51">
        <v>34.088056567999999</v>
      </c>
      <c r="AQ51" s="4">
        <f t="shared" si="19"/>
        <v>76.202097999947412</v>
      </c>
      <c r="AR51">
        <v>32.296347144999999</v>
      </c>
      <c r="AS51" s="4">
        <f t="shared" si="20"/>
        <v>72.196823696130281</v>
      </c>
      <c r="AT51">
        <v>6.0517811779999997</v>
      </c>
      <c r="AU51" s="4">
        <f t="shared" si="21"/>
        <v>13.528445702976903</v>
      </c>
      <c r="AV51">
        <v>5.2801566119999999</v>
      </c>
      <c r="AW51" s="4">
        <f t="shared" si="22"/>
        <v>11.80351865469523</v>
      </c>
      <c r="AX51">
        <v>8.771074295</v>
      </c>
      <c r="AY51" s="4">
        <f t="shared" si="23"/>
        <v>19.607285667902897</v>
      </c>
      <c r="AZ51">
        <v>6.6976125240000002</v>
      </c>
      <c r="BA51" s="4">
        <f t="shared" si="24"/>
        <v>14.972168474944169</v>
      </c>
      <c r="BB51">
        <v>13.063932777</v>
      </c>
      <c r="BC51" s="4">
        <f t="shared" si="25"/>
        <v>29.203750109714353</v>
      </c>
      <c r="BD51">
        <v>9.5141739849999993</v>
      </c>
      <c r="BE51" s="4">
        <f t="shared" si="26"/>
        <v>21.268446822342767</v>
      </c>
      <c r="BF51">
        <v>8.1658258440000004</v>
      </c>
      <c r="BG51" s="4">
        <f t="shared" si="27"/>
        <v>18.25428387135242</v>
      </c>
      <c r="BH51">
        <v>6.5246319770000003</v>
      </c>
      <c r="BI51" s="4">
        <f t="shared" si="28"/>
        <v>14.585479355009049</v>
      </c>
      <c r="BJ51">
        <v>10.023716930000001</v>
      </c>
      <c r="BK51" s="4">
        <f t="shared" si="29"/>
        <v>22.407503880424564</v>
      </c>
      <c r="BL51">
        <v>6.8786828510000007</v>
      </c>
      <c r="BM51" s="4">
        <f t="shared" si="30"/>
        <v>15.376941882175878</v>
      </c>
      <c r="BN51">
        <v>9.2149634360000015</v>
      </c>
      <c r="BO51" s="4">
        <f t="shared" si="31"/>
        <v>20.599577022387095</v>
      </c>
      <c r="BP51">
        <v>8.4600868229999993</v>
      </c>
      <c r="BQ51" s="4">
        <f t="shared" si="32"/>
        <v>18.912089162029158</v>
      </c>
      <c r="BR51">
        <v>6.1244583119999998</v>
      </c>
      <c r="BS51" s="4">
        <f t="shared" si="33"/>
        <v>13.690911699721998</v>
      </c>
      <c r="BT51">
        <v>15.787622450000001</v>
      </c>
      <c r="BU51" s="4">
        <f t="shared" si="34"/>
        <v>35.292418349552591</v>
      </c>
      <c r="BV51">
        <v>17.524242399999999</v>
      </c>
      <c r="BW51" s="4">
        <f t="shared" si="35"/>
        <v>39.174542968613203</v>
      </c>
      <c r="BX51">
        <v>6.0457572940000004</v>
      </c>
      <c r="BY51" s="4">
        <f t="shared" si="36"/>
        <v>13.51497961998116</v>
      </c>
      <c r="BZ51">
        <v>6.5650219920000001</v>
      </c>
      <c r="CA51" s="4">
        <f t="shared" si="37"/>
        <v>14.675769157101746</v>
      </c>
      <c r="CB51">
        <v>6.0333452220000003</v>
      </c>
      <c r="CC51" s="4">
        <f t="shared" si="38"/>
        <v>13.487233071126441</v>
      </c>
      <c r="CD51">
        <v>7.0980474939999993</v>
      </c>
      <c r="CE51" s="4">
        <f t="shared" si="39"/>
        <v>15.8673202641251</v>
      </c>
    </row>
    <row r="52" spans="1:83" x14ac:dyDescent="0.2">
      <c r="A52" s="2">
        <v>42054</v>
      </c>
      <c r="B52">
        <v>2019</v>
      </c>
      <c r="C52">
        <v>2</v>
      </c>
      <c r="D52">
        <v>13.469901324</v>
      </c>
      <c r="E52" s="4">
        <f t="shared" si="0"/>
        <v>3.3924288613436704</v>
      </c>
      <c r="F52">
        <v>14.932865619999999</v>
      </c>
      <c r="G52" s="4">
        <f t="shared" si="1"/>
        <v>3.7608801351494328</v>
      </c>
      <c r="H52">
        <v>18.176216602</v>
      </c>
      <c r="I52" s="4">
        <f t="shared" si="2"/>
        <v>4.5777263179198906</v>
      </c>
      <c r="J52">
        <v>13.874561310000001</v>
      </c>
      <c r="K52" s="4">
        <f t="shared" si="3"/>
        <v>3.494343506634455</v>
      </c>
      <c r="L52">
        <v>18.719304085000001</v>
      </c>
      <c r="M52" s="4">
        <f t="shared" si="4"/>
        <v>4.7145042799292352</v>
      </c>
      <c r="N52">
        <v>13.157547951</v>
      </c>
      <c r="O52" s="4">
        <f t="shared" si="5"/>
        <v>3.313761870991244</v>
      </c>
      <c r="P52">
        <v>5.4077813619999997</v>
      </c>
      <c r="Q52" s="4">
        <f t="shared" si="6"/>
        <v>1.3619634715213584</v>
      </c>
      <c r="R52">
        <v>10.511400699999999</v>
      </c>
      <c r="S52" s="4">
        <f t="shared" si="7"/>
        <v>2.6473229647415684</v>
      </c>
      <c r="T52">
        <v>9.8781929020000003</v>
      </c>
      <c r="U52" s="4">
        <f t="shared" si="8"/>
        <v>2.487847972498257</v>
      </c>
      <c r="V52">
        <v>5.8593184950000001</v>
      </c>
      <c r="W52" s="4">
        <f t="shared" si="9"/>
        <v>1.4756842453497663</v>
      </c>
      <c r="X52">
        <v>9.418828486999999</v>
      </c>
      <c r="Y52" s="4">
        <f t="shared" si="10"/>
        <v>2.3721558778172334</v>
      </c>
      <c r="Z52">
        <v>6.0088825220000004</v>
      </c>
      <c r="AA52" s="4">
        <f t="shared" si="11"/>
        <v>1.5133523254350711</v>
      </c>
      <c r="AB52">
        <v>0</v>
      </c>
      <c r="AC52" s="4">
        <f t="shared" si="12"/>
        <v>0</v>
      </c>
      <c r="AD52">
        <v>9.0742015840000008</v>
      </c>
      <c r="AE52" s="4">
        <f t="shared" si="13"/>
        <v>2.2853607169611108</v>
      </c>
      <c r="AF52">
        <v>5.3180508609999997</v>
      </c>
      <c r="AG52" s="4">
        <f t="shared" si="14"/>
        <v>1.3393646169333997</v>
      </c>
      <c r="AH52">
        <v>0</v>
      </c>
      <c r="AI52" s="4">
        <f t="shared" si="15"/>
        <v>0</v>
      </c>
      <c r="AJ52">
        <v>10.624375819999999</v>
      </c>
      <c r="AK52" s="4">
        <f t="shared" si="16"/>
        <v>2.6757760356648785</v>
      </c>
      <c r="AL52">
        <v>8.146581888</v>
      </c>
      <c r="AM52" s="4">
        <f t="shared" si="17"/>
        <v>2.0517373404145962</v>
      </c>
      <c r="AN52">
        <v>5.0310597420000001</v>
      </c>
      <c r="AO52" s="4">
        <f t="shared" si="18"/>
        <v>1.2670851746697651</v>
      </c>
      <c r="AP52">
        <v>11.50427723</v>
      </c>
      <c r="AQ52" s="4">
        <f t="shared" si="19"/>
        <v>2.8973814406801672</v>
      </c>
      <c r="AR52">
        <v>11.281036854</v>
      </c>
      <c r="AS52" s="4">
        <f t="shared" si="20"/>
        <v>2.8411577849648695</v>
      </c>
      <c r="AT52">
        <v>0</v>
      </c>
      <c r="AU52" s="4">
        <f t="shared" si="21"/>
        <v>0</v>
      </c>
      <c r="AV52">
        <v>0</v>
      </c>
      <c r="AW52" s="4">
        <f t="shared" si="22"/>
        <v>0</v>
      </c>
      <c r="AX52">
        <v>0</v>
      </c>
      <c r="AY52" s="4">
        <f t="shared" si="23"/>
        <v>0</v>
      </c>
      <c r="AZ52">
        <v>0</v>
      </c>
      <c r="BA52" s="4">
        <f t="shared" si="24"/>
        <v>0</v>
      </c>
      <c r="BB52">
        <v>5.5525879860000007</v>
      </c>
      <c r="BC52" s="4">
        <f t="shared" si="25"/>
        <v>1.3984333875775412</v>
      </c>
      <c r="BD52">
        <v>5.0026199820000006</v>
      </c>
      <c r="BE52" s="4">
        <f t="shared" si="26"/>
        <v>1.259922548878158</v>
      </c>
      <c r="BF52">
        <v>5.3200149530000003</v>
      </c>
      <c r="BG52" s="4">
        <f t="shared" si="27"/>
        <v>1.339859278492298</v>
      </c>
      <c r="BH52">
        <v>0</v>
      </c>
      <c r="BI52" s="4">
        <f t="shared" si="28"/>
        <v>0</v>
      </c>
      <c r="BJ52">
        <v>0</v>
      </c>
      <c r="BK52" s="4">
        <f t="shared" si="29"/>
        <v>0</v>
      </c>
      <c r="BL52">
        <v>0</v>
      </c>
      <c r="BM52" s="4">
        <f t="shared" si="30"/>
        <v>0</v>
      </c>
      <c r="BN52">
        <v>6.3212661749999999</v>
      </c>
      <c r="BO52" s="4">
        <f t="shared" si="31"/>
        <v>1.5920269418824073</v>
      </c>
      <c r="BP52">
        <v>6.6655769350000007</v>
      </c>
      <c r="BQ52" s="4">
        <f t="shared" si="32"/>
        <v>1.6787424813209928</v>
      </c>
      <c r="BR52">
        <v>0</v>
      </c>
      <c r="BS52" s="4">
        <f t="shared" si="33"/>
        <v>0</v>
      </c>
      <c r="BT52">
        <v>0</v>
      </c>
      <c r="BU52" s="4">
        <f t="shared" si="34"/>
        <v>0</v>
      </c>
      <c r="BV52">
        <v>5.042129278</v>
      </c>
      <c r="BW52" s="4">
        <f t="shared" si="35"/>
        <v>1.2698730654274482</v>
      </c>
      <c r="BX52">
        <v>0</v>
      </c>
      <c r="BY52" s="4">
        <f t="shared" si="36"/>
        <v>0</v>
      </c>
      <c r="BZ52">
        <v>0</v>
      </c>
      <c r="CA52" s="4">
        <f t="shared" si="37"/>
        <v>0</v>
      </c>
      <c r="CB52">
        <v>0</v>
      </c>
      <c r="CC52" s="4">
        <f t="shared" si="38"/>
        <v>0</v>
      </c>
      <c r="CD52">
        <v>5.4872736929999997</v>
      </c>
      <c r="CE52" s="4">
        <f t="shared" si="39"/>
        <v>1.3819838169903631</v>
      </c>
    </row>
    <row r="53" spans="1:83" x14ac:dyDescent="0.2">
      <c r="A53" s="2">
        <v>42055</v>
      </c>
      <c r="B53">
        <v>2019</v>
      </c>
      <c r="C53">
        <v>3</v>
      </c>
      <c r="D53">
        <v>11.585700988999999</v>
      </c>
      <c r="E53" s="4">
        <f t="shared" si="0"/>
        <v>1.039845553853062</v>
      </c>
      <c r="F53">
        <v>12.976318597000001</v>
      </c>
      <c r="G53" s="4">
        <f t="shared" si="1"/>
        <v>1.1646569518134879</v>
      </c>
      <c r="H53">
        <v>14.817253113</v>
      </c>
      <c r="I53" s="4">
        <f t="shared" si="2"/>
        <v>1.3298854151766242</v>
      </c>
      <c r="J53">
        <v>10.971633434999999</v>
      </c>
      <c r="K53" s="4">
        <f t="shared" si="3"/>
        <v>0.984731459643434</v>
      </c>
      <c r="L53">
        <v>15.028057575</v>
      </c>
      <c r="M53" s="4">
        <f t="shared" si="4"/>
        <v>1.3488056413028819</v>
      </c>
      <c r="N53">
        <v>11.491139887999999</v>
      </c>
      <c r="O53" s="4">
        <f t="shared" si="5"/>
        <v>1.031358459240862</v>
      </c>
      <c r="P53">
        <v>6.2770931730000008</v>
      </c>
      <c r="Q53" s="4">
        <f t="shared" si="6"/>
        <v>0.56338476482887767</v>
      </c>
      <c r="R53">
        <v>8.7429187299999995</v>
      </c>
      <c r="S53" s="4">
        <f t="shared" si="7"/>
        <v>0.78469875734932615</v>
      </c>
      <c r="T53">
        <v>8.2951440810000001</v>
      </c>
      <c r="U53" s="4">
        <f t="shared" si="8"/>
        <v>0.74450986603123992</v>
      </c>
      <c r="V53">
        <v>6.6536238189999999</v>
      </c>
      <c r="W53" s="4">
        <f t="shared" si="9"/>
        <v>0.59717932922375194</v>
      </c>
      <c r="X53">
        <v>8.4895782470000007</v>
      </c>
      <c r="Y53" s="4">
        <f t="shared" si="10"/>
        <v>0.76196081727054676</v>
      </c>
      <c r="Z53">
        <v>6.5530283450000004</v>
      </c>
      <c r="AA53" s="4">
        <f t="shared" si="11"/>
        <v>0.58815063458749683</v>
      </c>
      <c r="AB53">
        <v>0</v>
      </c>
      <c r="AC53" s="4">
        <f t="shared" si="12"/>
        <v>0</v>
      </c>
      <c r="AD53">
        <v>8.263718128999999</v>
      </c>
      <c r="AE53" s="4">
        <f t="shared" si="13"/>
        <v>0.74168930847552295</v>
      </c>
      <c r="AF53">
        <v>6.291134596</v>
      </c>
      <c r="AG53" s="4">
        <f t="shared" si="14"/>
        <v>0.56464501755680341</v>
      </c>
      <c r="AH53">
        <v>0</v>
      </c>
      <c r="AI53" s="4">
        <f t="shared" si="15"/>
        <v>0</v>
      </c>
      <c r="AJ53">
        <v>9.9035611149999987</v>
      </c>
      <c r="AK53" s="4">
        <f t="shared" si="16"/>
        <v>0.88886930557955734</v>
      </c>
      <c r="AL53">
        <v>7.7703418739999996</v>
      </c>
      <c r="AM53" s="4">
        <f t="shared" si="17"/>
        <v>0.69740755930682585</v>
      </c>
      <c r="AN53">
        <v>5.7286825180000003</v>
      </c>
      <c r="AO53" s="4">
        <f t="shared" si="18"/>
        <v>0.51416354102646555</v>
      </c>
      <c r="AP53">
        <v>11.230718612</v>
      </c>
      <c r="AQ53" s="4">
        <f t="shared" si="19"/>
        <v>1.0079850003336757</v>
      </c>
      <c r="AR53">
        <v>11.028756618999999</v>
      </c>
      <c r="AS53" s="4">
        <f t="shared" si="20"/>
        <v>0.98985840784973822</v>
      </c>
      <c r="AT53">
        <v>0</v>
      </c>
      <c r="AU53" s="4">
        <f t="shared" si="21"/>
        <v>0</v>
      </c>
      <c r="AV53">
        <v>0</v>
      </c>
      <c r="AW53" s="4">
        <f t="shared" si="22"/>
        <v>0</v>
      </c>
      <c r="AX53">
        <v>5.5505914680000004</v>
      </c>
      <c r="AY53" s="4">
        <f t="shared" si="23"/>
        <v>0.49817942520133346</v>
      </c>
      <c r="AZ53">
        <v>5.4551973349999994</v>
      </c>
      <c r="BA53" s="4">
        <f t="shared" si="24"/>
        <v>0.48961756388988592</v>
      </c>
      <c r="BB53">
        <v>5.1055917740000014</v>
      </c>
      <c r="BC53" s="4">
        <f t="shared" si="25"/>
        <v>0.45823959301412182</v>
      </c>
      <c r="BD53">
        <v>0</v>
      </c>
      <c r="BE53" s="4">
        <f t="shared" si="26"/>
        <v>0</v>
      </c>
      <c r="BF53">
        <v>5.3510687350000001</v>
      </c>
      <c r="BG53" s="4">
        <f t="shared" si="27"/>
        <v>0.48027176238493191</v>
      </c>
      <c r="BH53">
        <v>0</v>
      </c>
      <c r="BI53" s="4">
        <f t="shared" si="28"/>
        <v>0</v>
      </c>
      <c r="BJ53">
        <v>5.5073909749999999</v>
      </c>
      <c r="BK53" s="4">
        <f t="shared" si="29"/>
        <v>0.49430207322988506</v>
      </c>
      <c r="BL53">
        <v>5.2039332389999986</v>
      </c>
      <c r="BM53" s="4">
        <f t="shared" si="30"/>
        <v>0.46706598472203259</v>
      </c>
      <c r="BN53">
        <v>5.7385654449999999</v>
      </c>
      <c r="BO53" s="4">
        <f t="shared" si="31"/>
        <v>0.51505055836877056</v>
      </c>
      <c r="BP53">
        <v>6.0117442609999996</v>
      </c>
      <c r="BQ53" s="4">
        <f t="shared" si="32"/>
        <v>0.53956903830314373</v>
      </c>
      <c r="BR53">
        <v>0</v>
      </c>
      <c r="BS53" s="4">
        <f t="shared" si="33"/>
        <v>0</v>
      </c>
      <c r="BT53">
        <v>5.4162836080000014</v>
      </c>
      <c r="BU53" s="4">
        <f t="shared" si="34"/>
        <v>0.48612495985641235</v>
      </c>
      <c r="BV53">
        <v>6.1830244069999996</v>
      </c>
      <c r="BW53" s="4">
        <f t="shared" si="35"/>
        <v>0.55494185851061362</v>
      </c>
      <c r="BX53">
        <v>0</v>
      </c>
      <c r="BY53" s="4">
        <f t="shared" si="36"/>
        <v>0</v>
      </c>
      <c r="BZ53">
        <v>0</v>
      </c>
      <c r="CA53" s="4">
        <f t="shared" si="37"/>
        <v>0</v>
      </c>
      <c r="CB53">
        <v>5.4029297830000003</v>
      </c>
      <c r="CC53" s="4">
        <f t="shared" si="38"/>
        <v>0.48492642076358</v>
      </c>
      <c r="CD53">
        <v>6.9527592659999993</v>
      </c>
      <c r="CE53" s="4">
        <f t="shared" si="39"/>
        <v>0.62402748151579956</v>
      </c>
    </row>
    <row r="54" spans="1:83" x14ac:dyDescent="0.2">
      <c r="A54" s="2">
        <v>42056</v>
      </c>
      <c r="B54">
        <v>2019</v>
      </c>
      <c r="C54">
        <v>4</v>
      </c>
      <c r="D54">
        <v>55.698457251000001</v>
      </c>
      <c r="E54" s="4">
        <f t="shared" si="0"/>
        <v>14.150602341085634</v>
      </c>
      <c r="F54">
        <v>73.755884308000006</v>
      </c>
      <c r="G54" s="4">
        <f t="shared" si="1"/>
        <v>18.738224372253825</v>
      </c>
      <c r="H54">
        <v>80.046379221999999</v>
      </c>
      <c r="I54" s="4">
        <f t="shared" si="2"/>
        <v>20.336370828187082</v>
      </c>
      <c r="J54">
        <v>49.774927642000002</v>
      </c>
      <c r="K54" s="4">
        <f t="shared" si="3"/>
        <v>12.645686117376394</v>
      </c>
      <c r="L54">
        <v>65.040913486999997</v>
      </c>
      <c r="M54" s="4">
        <f t="shared" si="4"/>
        <v>16.524121996915206</v>
      </c>
      <c r="N54">
        <v>48.944921788999999</v>
      </c>
      <c r="O54" s="4">
        <f t="shared" si="5"/>
        <v>12.43481703147607</v>
      </c>
      <c r="P54">
        <v>47.623283456000003</v>
      </c>
      <c r="Q54" s="4">
        <f t="shared" si="6"/>
        <v>12.099045101479167</v>
      </c>
      <c r="R54">
        <v>40.882769166999999</v>
      </c>
      <c r="S54" s="4">
        <f t="shared" si="7"/>
        <v>10.386567916550815</v>
      </c>
      <c r="T54">
        <v>40.634041394999997</v>
      </c>
      <c r="U54" s="4">
        <f t="shared" si="8"/>
        <v>10.323376798403768</v>
      </c>
      <c r="V54">
        <v>38.128771919000002</v>
      </c>
      <c r="W54" s="4">
        <f t="shared" si="9"/>
        <v>9.6868946791167136</v>
      </c>
      <c r="X54">
        <v>37.907366418000002</v>
      </c>
      <c r="Y54" s="4">
        <f t="shared" si="10"/>
        <v>9.6306449846833253</v>
      </c>
      <c r="Z54">
        <v>27.839350603</v>
      </c>
      <c r="AA54" s="4">
        <f t="shared" si="11"/>
        <v>7.0727915863422366</v>
      </c>
      <c r="AB54">
        <v>17.096937231999998</v>
      </c>
      <c r="AC54" s="4">
        <f t="shared" si="12"/>
        <v>4.34360253337519</v>
      </c>
      <c r="AD54">
        <v>41.29834417</v>
      </c>
      <c r="AE54" s="4">
        <f t="shared" si="13"/>
        <v>10.492147799739463</v>
      </c>
      <c r="AF54">
        <v>27.315575161999998</v>
      </c>
      <c r="AG54" s="4">
        <f t="shared" si="14"/>
        <v>6.9397225868147014</v>
      </c>
      <c r="AH54">
        <v>20.652952745</v>
      </c>
      <c r="AI54" s="4">
        <f t="shared" si="15"/>
        <v>5.2470344043233075</v>
      </c>
      <c r="AJ54">
        <v>57.920645593000003</v>
      </c>
      <c r="AK54" s="4">
        <f t="shared" si="16"/>
        <v>14.715165618178446</v>
      </c>
      <c r="AL54">
        <v>50.791350629</v>
      </c>
      <c r="AM54" s="4">
        <f t="shared" si="17"/>
        <v>12.903915845976591</v>
      </c>
      <c r="AN54">
        <v>43.041442201000002</v>
      </c>
      <c r="AO54" s="4">
        <f t="shared" si="18"/>
        <v>10.934994662930949</v>
      </c>
      <c r="AP54">
        <v>66.704229150000003</v>
      </c>
      <c r="AQ54" s="4">
        <f t="shared" si="19"/>
        <v>16.946699563269426</v>
      </c>
      <c r="AR54">
        <v>68.641279241000007</v>
      </c>
      <c r="AS54" s="4">
        <f t="shared" si="20"/>
        <v>17.438821372478294</v>
      </c>
      <c r="AT54">
        <v>54.429030892999997</v>
      </c>
      <c r="AU54" s="4">
        <f t="shared" si="21"/>
        <v>13.828095246995014</v>
      </c>
      <c r="AV54">
        <v>38.348473949000002</v>
      </c>
      <c r="AW54" s="4">
        <f t="shared" si="22"/>
        <v>9.742711594225316</v>
      </c>
      <c r="AX54">
        <v>48.218939265000003</v>
      </c>
      <c r="AY54" s="4">
        <f t="shared" si="23"/>
        <v>12.250375836679474</v>
      </c>
      <c r="AZ54">
        <v>50.929924079000003</v>
      </c>
      <c r="BA54" s="4">
        <f t="shared" si="24"/>
        <v>12.939121449197264</v>
      </c>
      <c r="BB54">
        <v>53.157919133</v>
      </c>
      <c r="BC54" s="4">
        <f t="shared" si="25"/>
        <v>13.505159964141834</v>
      </c>
      <c r="BD54">
        <v>53.601201721999999</v>
      </c>
      <c r="BE54" s="4">
        <f t="shared" si="26"/>
        <v>13.617779163151214</v>
      </c>
      <c r="BF54">
        <v>53.062422791000003</v>
      </c>
      <c r="BG54" s="4">
        <f t="shared" si="27"/>
        <v>13.480898416742404</v>
      </c>
      <c r="BH54">
        <v>53.204336748999999</v>
      </c>
      <c r="BI54" s="4">
        <f t="shared" si="28"/>
        <v>13.51695270056678</v>
      </c>
      <c r="BJ54">
        <v>45.277900045000003</v>
      </c>
      <c r="BK54" s="4">
        <f t="shared" si="29"/>
        <v>11.503183211860238</v>
      </c>
      <c r="BL54">
        <v>59.568361318999997</v>
      </c>
      <c r="BM54" s="4">
        <f t="shared" si="30"/>
        <v>15.1337799059083</v>
      </c>
      <c r="BN54">
        <v>62.556853035000003</v>
      </c>
      <c r="BO54" s="4">
        <f t="shared" si="31"/>
        <v>15.89302818602086</v>
      </c>
      <c r="BP54">
        <v>70.659357923000002</v>
      </c>
      <c r="BQ54" s="4">
        <f t="shared" si="32"/>
        <v>17.95152909063491</v>
      </c>
      <c r="BR54">
        <v>56.103047060999998</v>
      </c>
      <c r="BS54" s="4">
        <f t="shared" si="33"/>
        <v>14.253391355272603</v>
      </c>
      <c r="BT54">
        <v>46.201138573999998</v>
      </c>
      <c r="BU54" s="4">
        <f t="shared" si="34"/>
        <v>11.737738744179103</v>
      </c>
      <c r="BV54">
        <v>45.245811773</v>
      </c>
      <c r="BW54" s="4">
        <f t="shared" si="35"/>
        <v>11.495030950571593</v>
      </c>
      <c r="BX54">
        <v>32.930430170000001</v>
      </c>
      <c r="BY54" s="4">
        <f t="shared" si="36"/>
        <v>8.3662177599756191</v>
      </c>
      <c r="BZ54">
        <v>39.829091839</v>
      </c>
      <c r="CA54" s="4">
        <f t="shared" si="37"/>
        <v>10.118873448871858</v>
      </c>
      <c r="CB54">
        <v>52.358086063000002</v>
      </c>
      <c r="CC54" s="4">
        <f t="shared" si="38"/>
        <v>13.301956495474549</v>
      </c>
      <c r="CD54">
        <v>63.962082827000003</v>
      </c>
      <c r="CE54" s="4">
        <f t="shared" si="39"/>
        <v>16.250037140413067</v>
      </c>
    </row>
    <row r="55" spans="1:83" x14ac:dyDescent="0.2">
      <c r="A55" s="2">
        <v>42057</v>
      </c>
      <c r="B55">
        <v>2019</v>
      </c>
      <c r="C55">
        <v>5</v>
      </c>
      <c r="D55">
        <v>232.127182957</v>
      </c>
      <c r="E55" s="4">
        <f t="shared" si="0"/>
        <v>112.4919391648158</v>
      </c>
      <c r="F55">
        <v>236.31800459199999</v>
      </c>
      <c r="G55" s="4">
        <f t="shared" si="1"/>
        <v>114.52286741031276</v>
      </c>
      <c r="H55">
        <v>275.59720470500002</v>
      </c>
      <c r="I55" s="4">
        <f t="shared" si="2"/>
        <v>133.55809341558739</v>
      </c>
      <c r="J55">
        <v>230.02193164100001</v>
      </c>
      <c r="K55" s="4">
        <f t="shared" si="3"/>
        <v>111.47170620480961</v>
      </c>
      <c r="L55">
        <v>262.21622039800002</v>
      </c>
      <c r="M55" s="4">
        <f t="shared" si="4"/>
        <v>127.07348935735764</v>
      </c>
      <c r="N55">
        <v>231.25235795500001</v>
      </c>
      <c r="O55" s="4">
        <f t="shared" si="5"/>
        <v>112.06798726202175</v>
      </c>
      <c r="P55">
        <v>204.18213749099999</v>
      </c>
      <c r="Q55" s="4">
        <f t="shared" si="6"/>
        <v>98.949396174055366</v>
      </c>
      <c r="R55">
        <v>204.39863826300001</v>
      </c>
      <c r="S55" s="4">
        <f t="shared" si="7"/>
        <v>99.054315345359285</v>
      </c>
      <c r="T55">
        <v>197.630260462</v>
      </c>
      <c r="U55" s="4">
        <f t="shared" si="8"/>
        <v>95.77426888920759</v>
      </c>
      <c r="V55">
        <v>193.806800127</v>
      </c>
      <c r="W55" s="4">
        <f t="shared" si="9"/>
        <v>93.921368845684555</v>
      </c>
      <c r="X55">
        <v>207.741201405</v>
      </c>
      <c r="Y55" s="4">
        <f t="shared" si="10"/>
        <v>100.67416617383408</v>
      </c>
      <c r="Z55">
        <v>185.114208225</v>
      </c>
      <c r="AA55" s="4">
        <f t="shared" si="11"/>
        <v>89.708822486538438</v>
      </c>
      <c r="AB55">
        <v>174.11167813599999</v>
      </c>
      <c r="AC55" s="4">
        <f t="shared" si="12"/>
        <v>84.376849170599314</v>
      </c>
      <c r="AD55">
        <v>208.53007792400001</v>
      </c>
      <c r="AE55" s="4">
        <f t="shared" si="13"/>
        <v>101.05646629161194</v>
      </c>
      <c r="AF55">
        <v>190.357231146</v>
      </c>
      <c r="AG55" s="4">
        <f t="shared" si="14"/>
        <v>92.249661555688405</v>
      </c>
      <c r="AH55">
        <v>185.70718981799999</v>
      </c>
      <c r="AI55" s="4">
        <f t="shared" si="15"/>
        <v>89.99618930172943</v>
      </c>
      <c r="AJ55">
        <v>214.515689391</v>
      </c>
      <c r="AK55" s="4">
        <f t="shared" si="16"/>
        <v>103.95717370740269</v>
      </c>
      <c r="AL55">
        <v>219.69445608699999</v>
      </c>
      <c r="AM55" s="4">
        <f t="shared" si="17"/>
        <v>106.46687335004697</v>
      </c>
      <c r="AN55">
        <v>209.43923734800001</v>
      </c>
      <c r="AO55" s="4">
        <f t="shared" si="18"/>
        <v>101.49705711476714</v>
      </c>
      <c r="AP55">
        <v>243.06565808100001</v>
      </c>
      <c r="AQ55" s="4">
        <f t="shared" si="19"/>
        <v>117.79287058753849</v>
      </c>
      <c r="AR55">
        <v>230.96508264600001</v>
      </c>
      <c r="AS55" s="4">
        <f t="shared" si="20"/>
        <v>111.92876980298952</v>
      </c>
      <c r="AT55">
        <v>198.146174651</v>
      </c>
      <c r="AU55" s="4">
        <f t="shared" si="21"/>
        <v>96.024287809111527</v>
      </c>
      <c r="AV55">
        <v>182.22312879899999</v>
      </c>
      <c r="AW55" s="4">
        <f t="shared" si="22"/>
        <v>88.307766708549309</v>
      </c>
      <c r="AX55">
        <v>216.47277283400001</v>
      </c>
      <c r="AY55" s="4">
        <f t="shared" si="23"/>
        <v>104.90560253338472</v>
      </c>
      <c r="AZ55">
        <v>223.14867685999999</v>
      </c>
      <c r="BA55" s="4">
        <f t="shared" si="24"/>
        <v>108.14083496069615</v>
      </c>
      <c r="BB55">
        <v>187.811479827</v>
      </c>
      <c r="BC55" s="4">
        <f t="shared" si="25"/>
        <v>91.015956399499316</v>
      </c>
      <c r="BD55">
        <v>189.458605275</v>
      </c>
      <c r="BE55" s="4">
        <f t="shared" si="26"/>
        <v>91.814175433275977</v>
      </c>
      <c r="BF55">
        <v>189.915954099</v>
      </c>
      <c r="BG55" s="4">
        <f t="shared" si="27"/>
        <v>92.035812793584796</v>
      </c>
      <c r="BH55">
        <v>191.82659364899999</v>
      </c>
      <c r="BI55" s="4">
        <f t="shared" si="28"/>
        <v>92.961734287511263</v>
      </c>
      <c r="BJ55">
        <v>190.456696042</v>
      </c>
      <c r="BK55" s="4">
        <f t="shared" si="29"/>
        <v>92.297863575319766</v>
      </c>
      <c r="BL55">
        <v>192.844630244</v>
      </c>
      <c r="BM55" s="4">
        <f t="shared" si="30"/>
        <v>93.45508844471702</v>
      </c>
      <c r="BN55">
        <v>201.45516586799999</v>
      </c>
      <c r="BO55" s="4">
        <f t="shared" si="31"/>
        <v>97.627869233475039</v>
      </c>
      <c r="BP55">
        <v>194.79034210099999</v>
      </c>
      <c r="BQ55" s="4">
        <f t="shared" si="32"/>
        <v>94.398006447949967</v>
      </c>
      <c r="BR55">
        <v>194.509806387</v>
      </c>
      <c r="BS55" s="4">
        <f t="shared" si="33"/>
        <v>94.262055086843361</v>
      </c>
      <c r="BT55">
        <v>191.18264985100001</v>
      </c>
      <c r="BU55" s="4">
        <f t="shared" si="34"/>
        <v>92.649670505805901</v>
      </c>
      <c r="BV55">
        <v>185.877502677</v>
      </c>
      <c r="BW55" s="4">
        <f t="shared" si="35"/>
        <v>90.078725192311296</v>
      </c>
      <c r="BX55">
        <v>180.581636898</v>
      </c>
      <c r="BY55" s="4">
        <f t="shared" si="36"/>
        <v>87.512277767036437</v>
      </c>
      <c r="BZ55">
        <v>186.419620506</v>
      </c>
      <c r="CA55" s="4">
        <f t="shared" si="37"/>
        <v>90.341442746813854</v>
      </c>
      <c r="CB55">
        <v>214.82349371500001</v>
      </c>
      <c r="CC55" s="4">
        <f t="shared" si="38"/>
        <v>104.10633980182124</v>
      </c>
      <c r="CD55">
        <v>219.04150056899999</v>
      </c>
      <c r="CE55" s="4">
        <f t="shared" si="39"/>
        <v>106.15044236823562</v>
      </c>
    </row>
    <row r="56" spans="1:83" x14ac:dyDescent="0.2">
      <c r="A56" s="2">
        <v>42058</v>
      </c>
      <c r="B56">
        <v>2019</v>
      </c>
      <c r="C56">
        <v>6</v>
      </c>
      <c r="D56">
        <v>139.51200781700001</v>
      </c>
      <c r="E56" s="4">
        <f t="shared" si="0"/>
        <v>201.2608061785451</v>
      </c>
      <c r="F56">
        <v>150.16877294700001</v>
      </c>
      <c r="G56" s="4">
        <f t="shared" si="1"/>
        <v>216.63431541892933</v>
      </c>
      <c r="H56">
        <v>128.499779593</v>
      </c>
      <c r="I56" s="4">
        <f t="shared" si="2"/>
        <v>185.37450388196024</v>
      </c>
      <c r="J56">
        <v>144.818778047</v>
      </c>
      <c r="K56" s="4">
        <f t="shared" si="3"/>
        <v>208.91638272285999</v>
      </c>
      <c r="L56">
        <v>133.737520706</v>
      </c>
      <c r="M56" s="4">
        <f t="shared" si="4"/>
        <v>192.93049863432333</v>
      </c>
      <c r="N56">
        <v>147.45779109599999</v>
      </c>
      <c r="O56" s="4">
        <f t="shared" si="5"/>
        <v>212.72343777187146</v>
      </c>
      <c r="P56">
        <v>140.250324724</v>
      </c>
      <c r="Q56" s="4">
        <f t="shared" si="6"/>
        <v>202.32590629604164</v>
      </c>
      <c r="R56">
        <v>156.68837094200001</v>
      </c>
      <c r="S56" s="4">
        <f t="shared" si="7"/>
        <v>226.03952411003266</v>
      </c>
      <c r="T56">
        <v>146.39372444099999</v>
      </c>
      <c r="U56" s="4">
        <f t="shared" si="8"/>
        <v>211.18840923802713</v>
      </c>
      <c r="V56">
        <v>156.92132114399999</v>
      </c>
      <c r="W56" s="4">
        <f t="shared" si="9"/>
        <v>226.37557938002399</v>
      </c>
      <c r="X56">
        <v>160.16572165900001</v>
      </c>
      <c r="Y56" s="4">
        <f t="shared" si="10"/>
        <v>231.05596978822098</v>
      </c>
      <c r="Z56">
        <v>163.91448044500001</v>
      </c>
      <c r="AA56" s="4">
        <f t="shared" si="11"/>
        <v>236.46395027136995</v>
      </c>
      <c r="AB56">
        <v>175.962285302</v>
      </c>
      <c r="AC56" s="4">
        <f t="shared" si="12"/>
        <v>253.84418123602063</v>
      </c>
      <c r="AD56">
        <v>163.87796379400001</v>
      </c>
      <c r="AE56" s="4">
        <f t="shared" si="13"/>
        <v>236.4112711455069</v>
      </c>
      <c r="AF56">
        <v>162.32355691000001</v>
      </c>
      <c r="AG56" s="4">
        <f t="shared" si="14"/>
        <v>234.1688750428454</v>
      </c>
      <c r="AH56">
        <v>182.54097292099999</v>
      </c>
      <c r="AI56" s="4">
        <f t="shared" si="15"/>
        <v>263.33463295063939</v>
      </c>
      <c r="AJ56">
        <v>162.251513491</v>
      </c>
      <c r="AK56" s="4">
        <f t="shared" si="16"/>
        <v>234.06494480189568</v>
      </c>
      <c r="AL56">
        <v>162.30944420500001</v>
      </c>
      <c r="AM56" s="4">
        <f t="shared" si="17"/>
        <v>234.14851597533499</v>
      </c>
      <c r="AN56">
        <v>179.177125692</v>
      </c>
      <c r="AO56" s="4">
        <f t="shared" si="18"/>
        <v>258.48192804184009</v>
      </c>
      <c r="AP56">
        <v>170.86980913299999</v>
      </c>
      <c r="AQ56" s="4">
        <f t="shared" si="19"/>
        <v>246.4977465078905</v>
      </c>
      <c r="AR56">
        <v>175.19711422899999</v>
      </c>
      <c r="AS56" s="4">
        <f t="shared" si="20"/>
        <v>252.74034114780051</v>
      </c>
      <c r="AT56">
        <v>215.582770802</v>
      </c>
      <c r="AU56" s="4">
        <f t="shared" si="21"/>
        <v>311.00091618442048</v>
      </c>
      <c r="AV56">
        <v>197.62232019000001</v>
      </c>
      <c r="AW56" s="4">
        <f t="shared" si="22"/>
        <v>285.09106923961434</v>
      </c>
      <c r="AX56">
        <v>199.860746377</v>
      </c>
      <c r="AY56" s="4">
        <f t="shared" si="23"/>
        <v>288.32023543122796</v>
      </c>
      <c r="AZ56">
        <v>206.23831629099999</v>
      </c>
      <c r="BA56" s="4">
        <f t="shared" si="24"/>
        <v>297.52055361484503</v>
      </c>
      <c r="BB56">
        <v>171.575410353</v>
      </c>
      <c r="BC56" s="4">
        <f t="shared" si="25"/>
        <v>247.51565079154213</v>
      </c>
      <c r="BD56">
        <v>186.664713151</v>
      </c>
      <c r="BE56" s="4">
        <f t="shared" si="26"/>
        <v>269.2835637713423</v>
      </c>
      <c r="BF56">
        <v>208.45409203</v>
      </c>
      <c r="BG56" s="4">
        <f t="shared" si="27"/>
        <v>300.71704414293606</v>
      </c>
      <c r="BH56">
        <v>201.701947942</v>
      </c>
      <c r="BI56" s="4">
        <f t="shared" si="28"/>
        <v>290.97636315175487</v>
      </c>
      <c r="BJ56">
        <v>187.47490979400001</v>
      </c>
      <c r="BK56" s="4">
        <f t="shared" si="29"/>
        <v>270.45235799977331</v>
      </c>
      <c r="BL56">
        <v>200.20275356100001</v>
      </c>
      <c r="BM56" s="4">
        <f t="shared" si="30"/>
        <v>288.81361691607464</v>
      </c>
      <c r="BN56">
        <v>211.46112869000001</v>
      </c>
      <c r="BO56" s="4">
        <f t="shared" si="31"/>
        <v>305.05501212053042</v>
      </c>
      <c r="BP56">
        <v>203.312309747</v>
      </c>
      <c r="BQ56" s="4">
        <f t="shared" si="32"/>
        <v>293.29948013777488</v>
      </c>
      <c r="BR56">
        <v>216.41818022499999</v>
      </c>
      <c r="BS56" s="4">
        <f t="shared" si="33"/>
        <v>312.20608251091096</v>
      </c>
      <c r="BT56">
        <v>153.68259072800001</v>
      </c>
      <c r="BU56" s="4">
        <f t="shared" si="34"/>
        <v>221.70336868849594</v>
      </c>
      <c r="BV56">
        <v>183.07855129199999</v>
      </c>
      <c r="BW56" s="4">
        <f t="shared" si="35"/>
        <v>264.11014652846364</v>
      </c>
      <c r="BX56">
        <v>181.79268908399999</v>
      </c>
      <c r="BY56" s="4">
        <f t="shared" si="36"/>
        <v>262.25515448393605</v>
      </c>
      <c r="BZ56">
        <v>191.27453947399999</v>
      </c>
      <c r="CA56" s="4">
        <f t="shared" si="37"/>
        <v>275.93372512037138</v>
      </c>
      <c r="CB56">
        <v>229.41092706500001</v>
      </c>
      <c r="CC56" s="4">
        <f t="shared" si="38"/>
        <v>330.94949208840194</v>
      </c>
      <c r="CD56">
        <v>209.18642545599999</v>
      </c>
      <c r="CE56" s="4">
        <f t="shared" si="39"/>
        <v>301.7735124571301</v>
      </c>
    </row>
    <row r="57" spans="1:83" x14ac:dyDescent="0.2">
      <c r="A57" s="2">
        <v>42059</v>
      </c>
      <c r="B57">
        <v>2019</v>
      </c>
      <c r="C57">
        <v>7</v>
      </c>
      <c r="D57">
        <v>298.24802278499999</v>
      </c>
      <c r="E57" s="4">
        <f t="shared" si="0"/>
        <v>242.94914330733945</v>
      </c>
      <c r="F57">
        <v>284.85375404500002</v>
      </c>
      <c r="G57" s="4">
        <f t="shared" si="1"/>
        <v>232.03833798087098</v>
      </c>
      <c r="H57">
        <v>277.33921146400002</v>
      </c>
      <c r="I57" s="4">
        <f t="shared" si="2"/>
        <v>225.91708471872766</v>
      </c>
      <c r="J57">
        <v>312.88849448799999</v>
      </c>
      <c r="K57" s="4">
        <f t="shared" si="3"/>
        <v>254.87509012383612</v>
      </c>
      <c r="L57">
        <v>310.1353426</v>
      </c>
      <c r="M57" s="4">
        <f t="shared" si="4"/>
        <v>252.63240671444177</v>
      </c>
      <c r="N57">
        <v>283.89062309799999</v>
      </c>
      <c r="O57" s="4">
        <f t="shared" si="5"/>
        <v>231.25378344709247</v>
      </c>
      <c r="P57">
        <v>327.43372726199999</v>
      </c>
      <c r="Q57" s="4">
        <f t="shared" si="6"/>
        <v>266.72345648902251</v>
      </c>
      <c r="R57">
        <v>309.728940975</v>
      </c>
      <c r="S57" s="4">
        <f t="shared" si="7"/>
        <v>252.30135698706894</v>
      </c>
      <c r="T57">
        <v>284.235345854</v>
      </c>
      <c r="U57" s="4">
        <f t="shared" si="8"/>
        <v>231.53459033213633</v>
      </c>
      <c r="V57">
        <v>294.10372068599997</v>
      </c>
      <c r="W57" s="4">
        <f t="shared" si="9"/>
        <v>239.57324617596205</v>
      </c>
      <c r="X57">
        <v>297.18237636600003</v>
      </c>
      <c r="Y57" s="4">
        <f t="shared" si="10"/>
        <v>242.08108094049786</v>
      </c>
      <c r="Z57">
        <v>240.688254841</v>
      </c>
      <c r="AA57" s="4">
        <f t="shared" si="11"/>
        <v>196.06166965241815</v>
      </c>
      <c r="AB57">
        <v>239.60775282</v>
      </c>
      <c r="AC57" s="4">
        <f t="shared" si="12"/>
        <v>195.18150609628609</v>
      </c>
      <c r="AD57">
        <v>283.12758542400002</v>
      </c>
      <c r="AE57" s="4">
        <f t="shared" si="13"/>
        <v>230.63222241383409</v>
      </c>
      <c r="AF57">
        <v>223.37099646600001</v>
      </c>
      <c r="AG57" s="4">
        <f t="shared" si="14"/>
        <v>181.95524558512105</v>
      </c>
      <c r="AH57">
        <v>234.447809229</v>
      </c>
      <c r="AI57" s="4">
        <f t="shared" si="15"/>
        <v>190.97827999191276</v>
      </c>
      <c r="AJ57">
        <v>267.07480478600002</v>
      </c>
      <c r="AK57" s="4">
        <f t="shared" si="16"/>
        <v>217.55582624099449</v>
      </c>
      <c r="AL57">
        <v>243.36675166000001</v>
      </c>
      <c r="AM57" s="4">
        <f t="shared" si="17"/>
        <v>198.24353996777171</v>
      </c>
      <c r="AN57">
        <v>243.739371772</v>
      </c>
      <c r="AO57" s="4">
        <f t="shared" si="18"/>
        <v>198.54707169329379</v>
      </c>
      <c r="AP57">
        <v>263.56454037999998</v>
      </c>
      <c r="AQ57" s="4">
        <f t="shared" si="19"/>
        <v>214.69640835699153</v>
      </c>
      <c r="AR57">
        <v>250.50156068499999</v>
      </c>
      <c r="AS57" s="4">
        <f t="shared" si="20"/>
        <v>204.0554669810642</v>
      </c>
      <c r="AT57">
        <v>348.27207470000002</v>
      </c>
      <c r="AU57" s="4">
        <f t="shared" si="21"/>
        <v>283.69811607176968</v>
      </c>
      <c r="AV57">
        <v>277.52551842700001</v>
      </c>
      <c r="AW57" s="4">
        <f t="shared" si="22"/>
        <v>226.06884806196922</v>
      </c>
      <c r="AX57">
        <v>265.67262411000002</v>
      </c>
      <c r="AY57" s="4">
        <f t="shared" si="23"/>
        <v>216.41362723891802</v>
      </c>
      <c r="AZ57">
        <v>317.93120289900003</v>
      </c>
      <c r="BA57" s="4">
        <f t="shared" si="24"/>
        <v>258.98281790342423</v>
      </c>
      <c r="BB57">
        <v>379.02133797300002</v>
      </c>
      <c r="BC57" s="4">
        <f t="shared" si="25"/>
        <v>308.7460848721949</v>
      </c>
      <c r="BD57">
        <v>378.13641690200001</v>
      </c>
      <c r="BE57" s="4">
        <f t="shared" si="26"/>
        <v>308.02523913418628</v>
      </c>
      <c r="BF57">
        <v>417.44169186200003</v>
      </c>
      <c r="BG57" s="4">
        <f t="shared" si="27"/>
        <v>340.04282902404515</v>
      </c>
      <c r="BH57">
        <v>415.220331676</v>
      </c>
      <c r="BI57" s="4">
        <f t="shared" si="28"/>
        <v>338.23333654484514</v>
      </c>
      <c r="BJ57">
        <v>374.847043047</v>
      </c>
      <c r="BK57" s="4">
        <f t="shared" si="29"/>
        <v>305.34575595563086</v>
      </c>
      <c r="BL57">
        <v>417.12097264699997</v>
      </c>
      <c r="BM57" s="4">
        <f t="shared" si="30"/>
        <v>339.7815751260348</v>
      </c>
      <c r="BN57">
        <v>441.36200904100002</v>
      </c>
      <c r="BO57" s="4">
        <f t="shared" si="31"/>
        <v>359.52802296434902</v>
      </c>
      <c r="BP57">
        <v>432.27159118499998</v>
      </c>
      <c r="BQ57" s="4">
        <f t="shared" si="32"/>
        <v>352.1230812323027</v>
      </c>
      <c r="BR57">
        <v>398.958471282</v>
      </c>
      <c r="BS57" s="4">
        <f t="shared" si="33"/>
        <v>324.98662659379914</v>
      </c>
      <c r="BT57">
        <v>341.00962353199998</v>
      </c>
      <c r="BU57" s="4">
        <f t="shared" si="34"/>
        <v>277.78221335060084</v>
      </c>
      <c r="BV57">
        <v>331.95391943099997</v>
      </c>
      <c r="BW57" s="4">
        <f t="shared" si="35"/>
        <v>270.40554901318563</v>
      </c>
      <c r="BX57">
        <v>294.19854782800002</v>
      </c>
      <c r="BY57" s="4">
        <f t="shared" si="36"/>
        <v>239.65049119068524</v>
      </c>
      <c r="BZ57">
        <v>346.61782504400003</v>
      </c>
      <c r="CA57" s="4">
        <f t="shared" si="37"/>
        <v>282.35058480236245</v>
      </c>
      <c r="CB57">
        <v>379.51579616999999</v>
      </c>
      <c r="CC57" s="4">
        <f t="shared" si="38"/>
        <v>309.14886439187347</v>
      </c>
      <c r="CD57">
        <v>376.81482745199997</v>
      </c>
      <c r="CE57" s="4">
        <f t="shared" si="39"/>
        <v>306.94868874607863</v>
      </c>
    </row>
    <row r="58" spans="1:83" x14ac:dyDescent="0.2">
      <c r="A58" s="2">
        <v>42060</v>
      </c>
      <c r="B58">
        <v>2019</v>
      </c>
      <c r="C58">
        <v>8</v>
      </c>
      <c r="D58">
        <v>381.41679284999998</v>
      </c>
      <c r="E58" s="4">
        <f t="shared" si="0"/>
        <v>342.57137029175402</v>
      </c>
      <c r="F58">
        <v>388.01573895799999</v>
      </c>
      <c r="G58" s="4">
        <f t="shared" si="1"/>
        <v>348.49824622662675</v>
      </c>
      <c r="H58">
        <v>357.30273771200001</v>
      </c>
      <c r="I58" s="4">
        <f t="shared" si="2"/>
        <v>320.91321295109316</v>
      </c>
      <c r="J58">
        <v>370.822607522</v>
      </c>
      <c r="K58" s="4">
        <f t="shared" si="3"/>
        <v>333.05615058205177</v>
      </c>
      <c r="L58">
        <v>357.779985888</v>
      </c>
      <c r="M58" s="4">
        <f t="shared" si="4"/>
        <v>321.34185574995871</v>
      </c>
      <c r="N58">
        <v>354.32782507000002</v>
      </c>
      <c r="O58" s="4">
        <f t="shared" si="5"/>
        <v>318.24128051557244</v>
      </c>
      <c r="P58">
        <v>377.99274162</v>
      </c>
      <c r="Q58" s="4">
        <f t="shared" si="6"/>
        <v>339.49604182221924</v>
      </c>
      <c r="R58">
        <v>364.55356313200002</v>
      </c>
      <c r="S58" s="4">
        <f t="shared" si="7"/>
        <v>327.42557749937498</v>
      </c>
      <c r="T58">
        <v>359.59360314600002</v>
      </c>
      <c r="U58" s="4">
        <f t="shared" si="8"/>
        <v>322.9707650190432</v>
      </c>
      <c r="V58">
        <v>391.75769138800001</v>
      </c>
      <c r="W58" s="4">
        <f t="shared" si="9"/>
        <v>351.85909922403476</v>
      </c>
      <c r="X58">
        <v>369.552213204</v>
      </c>
      <c r="Y58" s="4">
        <f t="shared" si="10"/>
        <v>331.91513967092686</v>
      </c>
      <c r="Z58">
        <v>351.00329685600002</v>
      </c>
      <c r="AA58" s="4">
        <f t="shared" si="11"/>
        <v>315.25533913283039</v>
      </c>
      <c r="AB58">
        <v>368.03252124400001</v>
      </c>
      <c r="AC58" s="4">
        <f t="shared" si="12"/>
        <v>330.55022085529595</v>
      </c>
      <c r="AD58">
        <v>388.21834469700002</v>
      </c>
      <c r="AE58" s="4">
        <f t="shared" si="13"/>
        <v>348.68021756857951</v>
      </c>
      <c r="AF58">
        <v>354.136260983</v>
      </c>
      <c r="AG58" s="4">
        <f t="shared" si="14"/>
        <v>318.06922628772389</v>
      </c>
      <c r="AH58">
        <v>377.78327941700002</v>
      </c>
      <c r="AI58" s="4">
        <f t="shared" si="15"/>
        <v>339.30791231336917</v>
      </c>
      <c r="AJ58">
        <v>395.60560989999999</v>
      </c>
      <c r="AK58" s="4">
        <f t="shared" si="16"/>
        <v>355.31512617968389</v>
      </c>
      <c r="AL58">
        <v>386.21961210699999</v>
      </c>
      <c r="AM58" s="4">
        <f t="shared" si="17"/>
        <v>346.88504605269821</v>
      </c>
      <c r="AN58">
        <v>405.24075791000001</v>
      </c>
      <c r="AO58" s="4">
        <f t="shared" si="18"/>
        <v>363.96898180068604</v>
      </c>
      <c r="AP58">
        <v>398.79555750899999</v>
      </c>
      <c r="AQ58" s="4">
        <f t="shared" si="19"/>
        <v>358.18019332947716</v>
      </c>
      <c r="AR58">
        <v>394.407894134</v>
      </c>
      <c r="AS58" s="4">
        <f t="shared" si="20"/>
        <v>354.23939186784929</v>
      </c>
      <c r="AT58">
        <v>480.83501625299999</v>
      </c>
      <c r="AU58" s="4">
        <f t="shared" si="21"/>
        <v>431.86433709757426</v>
      </c>
      <c r="AV58">
        <v>428.754061702</v>
      </c>
      <c r="AW58" s="4">
        <f t="shared" si="22"/>
        <v>385.08757136231424</v>
      </c>
      <c r="AX58">
        <v>429.00114490499999</v>
      </c>
      <c r="AY58" s="4">
        <f t="shared" si="23"/>
        <v>385.30949035753025</v>
      </c>
      <c r="AZ58">
        <v>487.77241229999998</v>
      </c>
      <c r="BA58" s="4">
        <f t="shared" si="24"/>
        <v>438.09519351141864</v>
      </c>
      <c r="BB58">
        <v>473.81850815600001</v>
      </c>
      <c r="BC58" s="4">
        <f t="shared" si="25"/>
        <v>425.56242580653742</v>
      </c>
      <c r="BD58">
        <v>473.24658821200001</v>
      </c>
      <c r="BE58" s="4">
        <f t="shared" si="26"/>
        <v>425.04875309315395</v>
      </c>
      <c r="BF58">
        <v>529.09840439799996</v>
      </c>
      <c r="BG58" s="4">
        <f t="shared" si="27"/>
        <v>475.21233677061861</v>
      </c>
      <c r="BH58">
        <v>546.21293210399995</v>
      </c>
      <c r="BI58" s="4">
        <f t="shared" si="28"/>
        <v>490.58383408811176</v>
      </c>
      <c r="BJ58">
        <v>492.69615461000001</v>
      </c>
      <c r="BK58" s="4">
        <f t="shared" si="29"/>
        <v>442.51747690774391</v>
      </c>
      <c r="BL58">
        <v>534.89502239199999</v>
      </c>
      <c r="BM58" s="4">
        <f t="shared" si="30"/>
        <v>480.41859775987552</v>
      </c>
      <c r="BN58">
        <v>556.84199905200001</v>
      </c>
      <c r="BO58" s="4">
        <f t="shared" si="31"/>
        <v>500.13038289654651</v>
      </c>
      <c r="BP58">
        <v>526.91079042299998</v>
      </c>
      <c r="BQ58" s="4">
        <f t="shared" si="32"/>
        <v>473.24752050889765</v>
      </c>
      <c r="BR58">
        <v>539.83860586499998</v>
      </c>
      <c r="BS58" s="4">
        <f t="shared" si="33"/>
        <v>484.85870159443135</v>
      </c>
      <c r="BT58">
        <v>419.131478308</v>
      </c>
      <c r="BU58" s="4">
        <f t="shared" si="34"/>
        <v>376.44500071303077</v>
      </c>
      <c r="BV58">
        <v>435.29964303600002</v>
      </c>
      <c r="BW58" s="4">
        <f t="shared" si="35"/>
        <v>390.9665174626931</v>
      </c>
      <c r="BX58">
        <v>437.52229213700002</v>
      </c>
      <c r="BY58" s="4">
        <f t="shared" si="36"/>
        <v>392.96280069531616</v>
      </c>
      <c r="BZ58">
        <v>476.54398823100001</v>
      </c>
      <c r="CA58" s="4">
        <f t="shared" si="37"/>
        <v>428.01032915399912</v>
      </c>
      <c r="CB58">
        <v>527.65109633999998</v>
      </c>
      <c r="CC58" s="4">
        <f t="shared" si="38"/>
        <v>473.91242991292989</v>
      </c>
      <c r="CD58">
        <v>534.36204243500003</v>
      </c>
      <c r="CE58" s="4">
        <f t="shared" si="39"/>
        <v>479.93989918752578</v>
      </c>
    </row>
    <row r="59" spans="1:83" x14ac:dyDescent="0.2">
      <c r="A59" s="2">
        <v>42061</v>
      </c>
      <c r="B59">
        <v>2019</v>
      </c>
      <c r="C59">
        <v>9</v>
      </c>
      <c r="D59">
        <v>371.06517554800001</v>
      </c>
      <c r="E59" s="4">
        <f t="shared" si="0"/>
        <v>348.93991465146536</v>
      </c>
      <c r="F59">
        <v>378.60849952500001</v>
      </c>
      <c r="G59" s="4">
        <f t="shared" si="1"/>
        <v>356.03345777589215</v>
      </c>
      <c r="H59">
        <v>365.39830305800001</v>
      </c>
      <c r="I59" s="4">
        <f t="shared" si="2"/>
        <v>343.61093706664877</v>
      </c>
      <c r="J59">
        <v>372.27204271699998</v>
      </c>
      <c r="K59" s="4">
        <f t="shared" si="3"/>
        <v>350.07482073992969</v>
      </c>
      <c r="L59">
        <v>334.949498146</v>
      </c>
      <c r="M59" s="4">
        <f t="shared" si="4"/>
        <v>314.97768316040066</v>
      </c>
      <c r="N59">
        <v>363.203861217</v>
      </c>
      <c r="O59" s="4">
        <f t="shared" si="5"/>
        <v>341.54734177621145</v>
      </c>
      <c r="P59">
        <v>347.93248938599999</v>
      </c>
      <c r="Q59" s="4">
        <f t="shared" si="6"/>
        <v>327.18654606033692</v>
      </c>
      <c r="R59">
        <v>391.76360464999999</v>
      </c>
      <c r="S59" s="4">
        <f t="shared" si="7"/>
        <v>368.40417203860733</v>
      </c>
      <c r="T59">
        <v>363.61398552600002</v>
      </c>
      <c r="U59" s="4">
        <f t="shared" si="8"/>
        <v>341.93301187087235</v>
      </c>
      <c r="V59">
        <v>360.42216253200002</v>
      </c>
      <c r="W59" s="4">
        <f t="shared" si="9"/>
        <v>338.93150562210047</v>
      </c>
      <c r="X59">
        <v>376.670936579</v>
      </c>
      <c r="Y59" s="4">
        <f t="shared" si="10"/>
        <v>354.21142463033863</v>
      </c>
      <c r="Z59">
        <v>349.47284841300001</v>
      </c>
      <c r="AA59" s="4">
        <f t="shared" si="11"/>
        <v>328.63505910557279</v>
      </c>
      <c r="AB59">
        <v>357.51381875300001</v>
      </c>
      <c r="AC59" s="4">
        <f t="shared" si="12"/>
        <v>336.19657575830325</v>
      </c>
      <c r="AD59">
        <v>377.41258523900001</v>
      </c>
      <c r="AE59" s="4">
        <f t="shared" si="13"/>
        <v>354.908851490026</v>
      </c>
      <c r="AF59">
        <v>373.92978763299999</v>
      </c>
      <c r="AG59" s="4">
        <f t="shared" si="14"/>
        <v>351.63372038242153</v>
      </c>
      <c r="AH59">
        <v>369.54984426499999</v>
      </c>
      <c r="AI59" s="4">
        <f t="shared" si="15"/>
        <v>347.51493703728255</v>
      </c>
      <c r="AJ59">
        <v>403.28713131900003</v>
      </c>
      <c r="AK59" s="4">
        <f t="shared" si="16"/>
        <v>379.24059290840842</v>
      </c>
      <c r="AL59">
        <v>374.44158221399999</v>
      </c>
      <c r="AM59" s="4">
        <f t="shared" si="17"/>
        <v>352.11499852217008</v>
      </c>
      <c r="AN59">
        <v>392.82380869500003</v>
      </c>
      <c r="AO59" s="4">
        <f t="shared" si="18"/>
        <v>369.40115998938739</v>
      </c>
      <c r="AP59">
        <v>431.05500697600002</v>
      </c>
      <c r="AQ59" s="4">
        <f t="shared" si="19"/>
        <v>405.35277157755087</v>
      </c>
      <c r="AR59">
        <v>391.42323588199997</v>
      </c>
      <c r="AS59" s="4">
        <f t="shared" si="20"/>
        <v>368.0840982168574</v>
      </c>
      <c r="AT59">
        <v>419.99504377</v>
      </c>
      <c r="AU59" s="4">
        <f t="shared" si="21"/>
        <v>394.9522735748738</v>
      </c>
      <c r="AV59">
        <v>388.20927953299997</v>
      </c>
      <c r="AW59" s="4">
        <f t="shared" si="22"/>
        <v>365.06177834418986</v>
      </c>
      <c r="AX59">
        <v>407.869071486</v>
      </c>
      <c r="AY59" s="4">
        <f t="shared" si="23"/>
        <v>383.54932872132838</v>
      </c>
      <c r="AZ59">
        <v>422.750338091</v>
      </c>
      <c r="BA59" s="4">
        <f t="shared" si="24"/>
        <v>397.54327976075348</v>
      </c>
      <c r="BB59">
        <v>407.51048757000001</v>
      </c>
      <c r="BC59" s="4">
        <f t="shared" si="25"/>
        <v>383.21212585431277</v>
      </c>
      <c r="BD59">
        <v>424.82192848800003</v>
      </c>
      <c r="BE59" s="4">
        <f t="shared" si="26"/>
        <v>399.49134879001349</v>
      </c>
      <c r="BF59">
        <v>438.51130105800002</v>
      </c>
      <c r="BG59" s="4">
        <f t="shared" si="27"/>
        <v>412.36447408169153</v>
      </c>
      <c r="BH59">
        <v>450.75513553000002</v>
      </c>
      <c r="BI59" s="4">
        <f t="shared" si="28"/>
        <v>423.87825343152355</v>
      </c>
      <c r="BJ59">
        <v>439.76739693100001</v>
      </c>
      <c r="BK59" s="4">
        <f t="shared" si="29"/>
        <v>413.54567354637146</v>
      </c>
      <c r="BL59">
        <v>449.64498613799998</v>
      </c>
      <c r="BM59" s="4">
        <f t="shared" si="30"/>
        <v>422.83429819233197</v>
      </c>
      <c r="BN59">
        <v>470.6059952</v>
      </c>
      <c r="BO59" s="4">
        <f t="shared" si="31"/>
        <v>442.54547885567808</v>
      </c>
      <c r="BP59">
        <v>462.04582453099999</v>
      </c>
      <c r="BQ59" s="4">
        <f t="shared" si="32"/>
        <v>434.49571989289865</v>
      </c>
      <c r="BR59">
        <v>434.66065359200002</v>
      </c>
      <c r="BS59" s="4">
        <f t="shared" si="33"/>
        <v>408.7434266574632</v>
      </c>
      <c r="BT59">
        <v>377.56784390299998</v>
      </c>
      <c r="BU59" s="4">
        <f t="shared" si="34"/>
        <v>355.05485264706005</v>
      </c>
      <c r="BV59">
        <v>411.27530668100002</v>
      </c>
      <c r="BW59" s="4">
        <f t="shared" si="35"/>
        <v>386.75246255481409</v>
      </c>
      <c r="BX59">
        <v>400.240606308</v>
      </c>
      <c r="BY59" s="4">
        <f t="shared" si="36"/>
        <v>376.37572105469172</v>
      </c>
      <c r="BZ59">
        <v>423.91296051799998</v>
      </c>
      <c r="CA59" s="4">
        <f t="shared" si="37"/>
        <v>398.63657925955482</v>
      </c>
      <c r="CB59">
        <v>458.571826461</v>
      </c>
      <c r="CC59" s="4">
        <f t="shared" si="38"/>
        <v>431.22886363710774</v>
      </c>
      <c r="CD59">
        <v>468.70674608500002</v>
      </c>
      <c r="CE59" s="4">
        <f t="shared" si="39"/>
        <v>440.75947502734465</v>
      </c>
    </row>
    <row r="60" spans="1:83" x14ac:dyDescent="0.2">
      <c r="A60" s="2">
        <v>42062</v>
      </c>
      <c r="B60">
        <v>2019</v>
      </c>
      <c r="C60">
        <v>10</v>
      </c>
      <c r="D60">
        <v>122.632863759</v>
      </c>
      <c r="E60" s="4">
        <f t="shared" si="0"/>
        <v>83.192462865864542</v>
      </c>
      <c r="F60">
        <v>114.993011483</v>
      </c>
      <c r="G60" s="4">
        <f t="shared" si="1"/>
        <v>78.009691239321853</v>
      </c>
      <c r="H60">
        <v>131.17860554999999</v>
      </c>
      <c r="I60" s="4">
        <f t="shared" si="2"/>
        <v>88.98977758898954</v>
      </c>
      <c r="J60">
        <v>119.14671705799999</v>
      </c>
      <c r="K60" s="4">
        <f t="shared" si="3"/>
        <v>80.827508472090827</v>
      </c>
      <c r="L60">
        <v>126.25105238</v>
      </c>
      <c r="M60" s="4">
        <f t="shared" si="4"/>
        <v>85.646992697980167</v>
      </c>
      <c r="N60">
        <v>120.66489269</v>
      </c>
      <c r="O60" s="4">
        <f t="shared" si="5"/>
        <v>81.857418122877675</v>
      </c>
      <c r="P60">
        <v>109.23800278</v>
      </c>
      <c r="Q60" s="4">
        <f t="shared" si="6"/>
        <v>74.105571795793665</v>
      </c>
      <c r="R60">
        <v>110.244859444</v>
      </c>
      <c r="S60" s="4">
        <f t="shared" si="7"/>
        <v>74.788609629727645</v>
      </c>
      <c r="T60">
        <v>107.532357447</v>
      </c>
      <c r="U60" s="4">
        <f t="shared" si="8"/>
        <v>72.948485255706046</v>
      </c>
      <c r="V60">
        <v>105.19609117100001</v>
      </c>
      <c r="W60" s="4">
        <f t="shared" si="9"/>
        <v>71.363594065422333</v>
      </c>
      <c r="X60">
        <v>114.78082347900001</v>
      </c>
      <c r="Y60" s="4">
        <f t="shared" si="10"/>
        <v>77.865745790261457</v>
      </c>
      <c r="Z60">
        <v>106.720370284</v>
      </c>
      <c r="AA60" s="4">
        <f t="shared" si="11"/>
        <v>72.397644234508093</v>
      </c>
      <c r="AB60">
        <v>101.939712521</v>
      </c>
      <c r="AC60" s="4">
        <f t="shared" si="12"/>
        <v>69.154511184917254</v>
      </c>
      <c r="AD60">
        <v>118.642628671</v>
      </c>
      <c r="AE60" s="4">
        <f t="shared" si="13"/>
        <v>80.485541782810671</v>
      </c>
      <c r="AF60">
        <v>101.08203555199999</v>
      </c>
      <c r="AG60" s="4">
        <f t="shared" si="14"/>
        <v>68.572674822238298</v>
      </c>
      <c r="AH60">
        <v>97.517632481000007</v>
      </c>
      <c r="AI60" s="4">
        <f t="shared" si="15"/>
        <v>66.154632373960425</v>
      </c>
      <c r="AJ60">
        <v>111.74772357800001</v>
      </c>
      <c r="AK60" s="4">
        <f t="shared" si="16"/>
        <v>75.808132169019714</v>
      </c>
      <c r="AL60">
        <v>110.725934994</v>
      </c>
      <c r="AM60" s="4">
        <f t="shared" si="17"/>
        <v>75.114964724131227</v>
      </c>
      <c r="AN60">
        <v>104.090314393</v>
      </c>
      <c r="AO60" s="4">
        <f t="shared" si="18"/>
        <v>70.613450174772552</v>
      </c>
      <c r="AP60">
        <v>108.705266959</v>
      </c>
      <c r="AQ60" s="4">
        <f t="shared" si="19"/>
        <v>73.744171077851078</v>
      </c>
      <c r="AR60">
        <v>116.12260245</v>
      </c>
      <c r="AS60" s="4">
        <f t="shared" si="20"/>
        <v>78.775990351119816</v>
      </c>
      <c r="AT60">
        <v>116.87100698</v>
      </c>
      <c r="AU60" s="4">
        <f t="shared" si="21"/>
        <v>79.283697780940813</v>
      </c>
      <c r="AV60">
        <v>113.708492291</v>
      </c>
      <c r="AW60" s="4">
        <f t="shared" si="22"/>
        <v>77.138290931889102</v>
      </c>
      <c r="AX60">
        <v>115.665557875</v>
      </c>
      <c r="AY60" s="4">
        <f t="shared" si="23"/>
        <v>78.465937542531293</v>
      </c>
      <c r="AZ60">
        <v>118.188642032</v>
      </c>
      <c r="BA60" s="4">
        <f t="shared" si="24"/>
        <v>80.177563436314344</v>
      </c>
      <c r="BB60">
        <v>100.502805236</v>
      </c>
      <c r="BC60" s="4">
        <f t="shared" si="25"/>
        <v>68.179732872767786</v>
      </c>
      <c r="BD60">
        <v>116.756096848</v>
      </c>
      <c r="BE60" s="4">
        <f t="shared" si="26"/>
        <v>79.205744314012819</v>
      </c>
      <c r="BF60">
        <v>103.48758601900001</v>
      </c>
      <c r="BG60" s="4">
        <f t="shared" si="27"/>
        <v>70.204567463114302</v>
      </c>
      <c r="BH60">
        <v>109.450199134</v>
      </c>
      <c r="BI60" s="4">
        <f t="shared" si="28"/>
        <v>74.249522909380218</v>
      </c>
      <c r="BJ60">
        <v>121.092330942</v>
      </c>
      <c r="BK60" s="4">
        <f t="shared" si="29"/>
        <v>82.147386405579141</v>
      </c>
      <c r="BL60">
        <v>111.407582762</v>
      </c>
      <c r="BM60" s="4">
        <f t="shared" si="30"/>
        <v>75.577385276735981</v>
      </c>
      <c r="BN60">
        <v>111.759436119</v>
      </c>
      <c r="BO60" s="4">
        <f t="shared" si="31"/>
        <v>75.816077797151848</v>
      </c>
      <c r="BP60">
        <v>114.286567684</v>
      </c>
      <c r="BQ60" s="4">
        <f t="shared" si="32"/>
        <v>77.530449397341997</v>
      </c>
      <c r="BR60">
        <v>116.71065330099999</v>
      </c>
      <c r="BS60" s="4">
        <f t="shared" si="33"/>
        <v>79.174916031280063</v>
      </c>
      <c r="BT60">
        <v>108.56937265800001</v>
      </c>
      <c r="BU60" s="4">
        <f t="shared" si="34"/>
        <v>73.651982236759977</v>
      </c>
      <c r="BV60">
        <v>118.14297389799999</v>
      </c>
      <c r="BW60" s="4">
        <f t="shared" si="35"/>
        <v>80.146582796822671</v>
      </c>
      <c r="BX60">
        <v>115.742976429</v>
      </c>
      <c r="BY60" s="4">
        <f t="shared" si="36"/>
        <v>78.518457234083399</v>
      </c>
      <c r="BZ60">
        <v>112.76474715000001</v>
      </c>
      <c r="CA60" s="4">
        <f t="shared" si="37"/>
        <v>76.498067094730928</v>
      </c>
      <c r="CB60">
        <v>123.239721769</v>
      </c>
      <c r="CC60" s="4">
        <f t="shared" si="38"/>
        <v>83.604147066284042</v>
      </c>
      <c r="CD60">
        <v>121.60238839199999</v>
      </c>
      <c r="CE60" s="4">
        <f t="shared" si="39"/>
        <v>82.49340242581961</v>
      </c>
    </row>
    <row r="61" spans="1:83" x14ac:dyDescent="0.2">
      <c r="A61" s="2">
        <v>42063</v>
      </c>
      <c r="B61">
        <v>2019</v>
      </c>
      <c r="C61">
        <v>11</v>
      </c>
      <c r="D61">
        <v>185.32902138700001</v>
      </c>
      <c r="E61" s="4">
        <f t="shared" si="0"/>
        <v>264.44079662579395</v>
      </c>
      <c r="F61">
        <v>166.36196126300001</v>
      </c>
      <c r="G61" s="4">
        <f t="shared" si="1"/>
        <v>237.37722907818204</v>
      </c>
      <c r="H61">
        <v>194.712704358</v>
      </c>
      <c r="I61" s="4">
        <f t="shared" si="2"/>
        <v>277.83011137835757</v>
      </c>
      <c r="J61">
        <v>165.71559905800001</v>
      </c>
      <c r="K61" s="4">
        <f t="shared" si="3"/>
        <v>236.45495292779927</v>
      </c>
      <c r="L61">
        <v>235.52657210300001</v>
      </c>
      <c r="M61" s="4">
        <f t="shared" si="4"/>
        <v>336.06627762525204</v>
      </c>
      <c r="N61">
        <v>157.20794822600001</v>
      </c>
      <c r="O61" s="4">
        <f t="shared" si="5"/>
        <v>224.31562393015537</v>
      </c>
      <c r="P61">
        <v>154.66191421400001</v>
      </c>
      <c r="Q61" s="4">
        <f t="shared" si="6"/>
        <v>220.68275921565535</v>
      </c>
      <c r="R61">
        <v>158.51446264200001</v>
      </c>
      <c r="S61" s="4">
        <f t="shared" si="7"/>
        <v>226.1798528047506</v>
      </c>
      <c r="T61">
        <v>175.36965367100001</v>
      </c>
      <c r="U61" s="4">
        <f t="shared" si="8"/>
        <v>250.23005341354391</v>
      </c>
      <c r="V61">
        <v>154.72730353700001</v>
      </c>
      <c r="W61" s="4">
        <f t="shared" si="9"/>
        <v>220.77606141158523</v>
      </c>
      <c r="X61">
        <v>147.190947241</v>
      </c>
      <c r="Y61" s="4">
        <f t="shared" si="10"/>
        <v>210.02264541847703</v>
      </c>
      <c r="Z61">
        <v>167.72134131799999</v>
      </c>
      <c r="AA61" s="4">
        <f t="shared" si="11"/>
        <v>239.31689045431781</v>
      </c>
      <c r="AB61">
        <v>165.84526304600001</v>
      </c>
      <c r="AC61" s="4">
        <f t="shared" si="12"/>
        <v>236.63996684533785</v>
      </c>
      <c r="AD61">
        <v>151.46574515899999</v>
      </c>
      <c r="AE61" s="4">
        <f t="shared" si="13"/>
        <v>216.12223499376358</v>
      </c>
      <c r="AF61">
        <v>152.87021699499999</v>
      </c>
      <c r="AG61" s="4">
        <f t="shared" si="14"/>
        <v>218.12623657090882</v>
      </c>
      <c r="AH61">
        <v>118.946058513</v>
      </c>
      <c r="AI61" s="4">
        <f t="shared" si="15"/>
        <v>169.72080375363373</v>
      </c>
      <c r="AJ61">
        <v>158.290732795</v>
      </c>
      <c r="AK61" s="4">
        <f t="shared" si="16"/>
        <v>225.86061894419885</v>
      </c>
      <c r="AL61">
        <v>168.54491970000001</v>
      </c>
      <c r="AM61" s="4">
        <f t="shared" si="17"/>
        <v>240.49203141060167</v>
      </c>
      <c r="AN61">
        <v>119.901744353</v>
      </c>
      <c r="AO61" s="4">
        <f t="shared" si="18"/>
        <v>171.0844451464508</v>
      </c>
      <c r="AP61">
        <v>162.21173663900001</v>
      </c>
      <c r="AQ61" s="4">
        <f t="shared" si="19"/>
        <v>231.45538965156143</v>
      </c>
      <c r="AR61">
        <v>160.286570547</v>
      </c>
      <c r="AS61" s="4">
        <f t="shared" si="20"/>
        <v>228.70842400529941</v>
      </c>
      <c r="AT61">
        <v>128.66123136799999</v>
      </c>
      <c r="AU61" s="4">
        <f t="shared" si="21"/>
        <v>183.58311214929927</v>
      </c>
      <c r="AV61">
        <v>117.48020182800001</v>
      </c>
      <c r="AW61" s="4">
        <f t="shared" si="22"/>
        <v>167.6292138524968</v>
      </c>
      <c r="AX61">
        <v>147.924542218</v>
      </c>
      <c r="AY61" s="4">
        <f t="shared" si="23"/>
        <v>211.06939157116656</v>
      </c>
      <c r="AZ61">
        <v>149.52741830299999</v>
      </c>
      <c r="BA61" s="4">
        <f t="shared" si="24"/>
        <v>213.35649062148059</v>
      </c>
      <c r="BB61">
        <v>139.74596454100001</v>
      </c>
      <c r="BC61" s="4">
        <f t="shared" si="25"/>
        <v>199.39960785361481</v>
      </c>
      <c r="BD61">
        <v>152.19181416500001</v>
      </c>
      <c r="BE61" s="4">
        <f t="shared" si="26"/>
        <v>217.15824254894841</v>
      </c>
      <c r="BF61">
        <v>138.34965923499999</v>
      </c>
      <c r="BG61" s="4">
        <f t="shared" si="27"/>
        <v>197.40725886969381</v>
      </c>
      <c r="BH61">
        <v>148.781031388</v>
      </c>
      <c r="BI61" s="4">
        <f t="shared" si="28"/>
        <v>212.29149201027272</v>
      </c>
      <c r="BJ61">
        <v>170.896934466</v>
      </c>
      <c r="BK61" s="4">
        <f t="shared" si="29"/>
        <v>243.84805549005702</v>
      </c>
      <c r="BL61">
        <v>159.64262878100001</v>
      </c>
      <c r="BM61" s="4">
        <f t="shared" si="30"/>
        <v>227.7896015116217</v>
      </c>
      <c r="BN61">
        <v>179.14067943699999</v>
      </c>
      <c r="BO61" s="4">
        <f t="shared" si="31"/>
        <v>255.6108245965691</v>
      </c>
      <c r="BP61">
        <v>164.02468105</v>
      </c>
      <c r="BQ61" s="4">
        <f t="shared" si="32"/>
        <v>234.04222932024999</v>
      </c>
      <c r="BR61">
        <v>147.46814845</v>
      </c>
      <c r="BS61" s="4">
        <f t="shared" si="33"/>
        <v>210.41817606977489</v>
      </c>
      <c r="BT61">
        <v>151.588924623</v>
      </c>
      <c r="BU61" s="4">
        <f t="shared" si="34"/>
        <v>216.29799632539053</v>
      </c>
      <c r="BV61">
        <v>173.06147661399999</v>
      </c>
      <c r="BW61" s="4">
        <f t="shared" si="35"/>
        <v>246.9365801348398</v>
      </c>
      <c r="BX61">
        <v>169.16776633000001</v>
      </c>
      <c r="BY61" s="4">
        <f t="shared" si="36"/>
        <v>241.38075384479052</v>
      </c>
      <c r="BZ61">
        <v>161.93075574299999</v>
      </c>
      <c r="CA61" s="4">
        <f t="shared" si="37"/>
        <v>231.05446587060803</v>
      </c>
      <c r="CB61">
        <v>171.150449098</v>
      </c>
      <c r="CC61" s="4">
        <f t="shared" si="38"/>
        <v>244.2097884271904</v>
      </c>
      <c r="CD61">
        <v>199.71045844099999</v>
      </c>
      <c r="CE61" s="4">
        <f t="shared" si="39"/>
        <v>284.96126688307783</v>
      </c>
    </row>
    <row r="62" spans="1:83" x14ac:dyDescent="0.2">
      <c r="A62" s="2">
        <v>42064</v>
      </c>
      <c r="B62">
        <v>2019</v>
      </c>
      <c r="C62">
        <v>12</v>
      </c>
      <c r="D62">
        <v>138.99177074400001</v>
      </c>
      <c r="E62" s="4">
        <f t="shared" si="0"/>
        <v>16.513674071938631</v>
      </c>
      <c r="F62">
        <v>148.078859325</v>
      </c>
      <c r="G62" s="4">
        <f t="shared" si="1"/>
        <v>17.593315105981269</v>
      </c>
      <c r="H62">
        <v>174.05898285200001</v>
      </c>
      <c r="I62" s="4">
        <f t="shared" si="2"/>
        <v>20.680025131884751</v>
      </c>
      <c r="J62">
        <v>137.27315949300001</v>
      </c>
      <c r="K62" s="4">
        <f t="shared" si="3"/>
        <v>16.309485105185679</v>
      </c>
      <c r="L62">
        <v>210.92031288000001</v>
      </c>
      <c r="M62" s="4">
        <f t="shared" si="4"/>
        <v>25.059536139494771</v>
      </c>
      <c r="N62">
        <v>116.122849703</v>
      </c>
      <c r="O62" s="4">
        <f t="shared" si="5"/>
        <v>13.796607396505433</v>
      </c>
      <c r="P62">
        <v>65.977736473999997</v>
      </c>
      <c r="Q62" s="4">
        <f t="shared" si="6"/>
        <v>7.8388442013782065</v>
      </c>
      <c r="R62">
        <v>110.480398181</v>
      </c>
      <c r="S62" s="4">
        <f t="shared" si="7"/>
        <v>13.126225222782068</v>
      </c>
      <c r="T62">
        <v>94.739843367000006</v>
      </c>
      <c r="U62" s="4">
        <f t="shared" si="8"/>
        <v>11.256082907747915</v>
      </c>
      <c r="V62">
        <v>73.980659490999997</v>
      </c>
      <c r="W62" s="4">
        <f t="shared" si="9"/>
        <v>8.7896750427879944</v>
      </c>
      <c r="X62">
        <v>124.16592597899999</v>
      </c>
      <c r="Y62" s="4">
        <f t="shared" si="10"/>
        <v>14.752208864467445</v>
      </c>
      <c r="Z62">
        <v>109.5036745</v>
      </c>
      <c r="AA62" s="4">
        <f t="shared" si="11"/>
        <v>13.010180248032553</v>
      </c>
      <c r="AB62">
        <v>75.717525484000006</v>
      </c>
      <c r="AC62" s="4">
        <f t="shared" si="12"/>
        <v>8.9960328635532516</v>
      </c>
      <c r="AD62">
        <v>143.47796488700001</v>
      </c>
      <c r="AE62" s="4">
        <f t="shared" si="13"/>
        <v>17.046680792440036</v>
      </c>
      <c r="AF62">
        <v>102.003482347</v>
      </c>
      <c r="AG62" s="4">
        <f t="shared" si="14"/>
        <v>12.119079084067417</v>
      </c>
      <c r="AH62">
        <v>75.078631400999996</v>
      </c>
      <c r="AI62" s="4">
        <f t="shared" si="15"/>
        <v>8.9201255735268195</v>
      </c>
      <c r="AJ62">
        <v>120.572799678</v>
      </c>
      <c r="AK62" s="4">
        <f t="shared" si="16"/>
        <v>14.325307931294134</v>
      </c>
      <c r="AL62">
        <v>92.102320671999991</v>
      </c>
      <c r="AM62" s="4">
        <f t="shared" si="17"/>
        <v>10.942717663824281</v>
      </c>
      <c r="AN62">
        <v>71.768999575999999</v>
      </c>
      <c r="AO62" s="4">
        <f t="shared" si="18"/>
        <v>8.5269067450766851</v>
      </c>
      <c r="AP62">
        <v>136.39867114699999</v>
      </c>
      <c r="AQ62" s="4">
        <f t="shared" si="19"/>
        <v>16.205586756037</v>
      </c>
      <c r="AR62">
        <v>72.842971800000001</v>
      </c>
      <c r="AS62" s="4">
        <f t="shared" si="20"/>
        <v>8.6545058624526074</v>
      </c>
      <c r="AT62">
        <v>25.724190475</v>
      </c>
      <c r="AU62" s="4">
        <f t="shared" si="21"/>
        <v>3.0563025062183837</v>
      </c>
      <c r="AV62">
        <v>44.148600105</v>
      </c>
      <c r="AW62" s="4">
        <f t="shared" si="22"/>
        <v>5.2453148050694756</v>
      </c>
      <c r="AX62">
        <v>43.664155481000002</v>
      </c>
      <c r="AY62" s="4">
        <f t="shared" si="23"/>
        <v>5.1877577239285104</v>
      </c>
      <c r="AZ62">
        <v>40.204238887999999</v>
      </c>
      <c r="BA62" s="4">
        <f t="shared" si="24"/>
        <v>4.7766834953820636</v>
      </c>
      <c r="BB62">
        <v>61.380423552000003</v>
      </c>
      <c r="BC62" s="4">
        <f t="shared" si="25"/>
        <v>7.292635409345122</v>
      </c>
      <c r="BD62">
        <v>71.597103598000004</v>
      </c>
      <c r="BE62" s="4">
        <f t="shared" si="26"/>
        <v>8.5064837075128477</v>
      </c>
      <c r="BF62">
        <v>69.710423469999995</v>
      </c>
      <c r="BG62" s="4">
        <f t="shared" si="27"/>
        <v>8.2823264027672305</v>
      </c>
      <c r="BH62">
        <v>55.176239010000003</v>
      </c>
      <c r="BI62" s="4">
        <f t="shared" si="28"/>
        <v>6.5555134857928916</v>
      </c>
      <c r="BJ62">
        <v>46.013241891</v>
      </c>
      <c r="BK62" s="4">
        <f t="shared" si="29"/>
        <v>5.4668537246047588</v>
      </c>
      <c r="BL62">
        <v>37.129864331999997</v>
      </c>
      <c r="BM62" s="4">
        <f t="shared" si="30"/>
        <v>4.411415687647219</v>
      </c>
      <c r="BN62">
        <v>51.979661469</v>
      </c>
      <c r="BO62" s="4">
        <f t="shared" si="31"/>
        <v>6.1757266870839347</v>
      </c>
      <c r="BP62">
        <v>46.041492464000001</v>
      </c>
      <c r="BQ62" s="4">
        <f t="shared" si="32"/>
        <v>5.4702101877418956</v>
      </c>
      <c r="BR62">
        <v>15.349992748</v>
      </c>
      <c r="BS62" s="4">
        <f t="shared" si="33"/>
        <v>1.8237394623453711</v>
      </c>
      <c r="BT62">
        <v>74.814198015999992</v>
      </c>
      <c r="BU62" s="4">
        <f t="shared" si="34"/>
        <v>8.8887081254991056</v>
      </c>
      <c r="BV62">
        <v>50.319180490999997</v>
      </c>
      <c r="BW62" s="4">
        <f t="shared" si="35"/>
        <v>5.9784442039083636</v>
      </c>
      <c r="BX62">
        <v>41.360988618</v>
      </c>
      <c r="BY62" s="4">
        <f t="shared" si="36"/>
        <v>4.9141174450452141</v>
      </c>
      <c r="BZ62">
        <v>24.291791500999999</v>
      </c>
      <c r="CA62" s="4">
        <f t="shared" si="37"/>
        <v>2.886118547333635</v>
      </c>
      <c r="CB62">
        <v>20.416987896999998</v>
      </c>
      <c r="CC62" s="4">
        <f t="shared" si="38"/>
        <v>2.4257514085691168</v>
      </c>
      <c r="CD62">
        <v>18.193660258000001</v>
      </c>
      <c r="CE62" s="4">
        <f t="shared" si="39"/>
        <v>2.1615968633823921</v>
      </c>
    </row>
    <row r="63" spans="1:83" x14ac:dyDescent="0.2">
      <c r="A63" s="2">
        <v>42065</v>
      </c>
      <c r="B63">
        <v>2020</v>
      </c>
      <c r="C63">
        <v>1</v>
      </c>
      <c r="D63">
        <v>46.356861109999997</v>
      </c>
      <c r="E63" s="4">
        <f t="shared" si="0"/>
        <v>103.62837981764788</v>
      </c>
      <c r="F63">
        <v>43.676033019999998</v>
      </c>
      <c r="G63" s="4">
        <f t="shared" si="1"/>
        <v>97.6355264431037</v>
      </c>
      <c r="H63">
        <v>58.450828549999997</v>
      </c>
      <c r="I63" s="4">
        <f t="shared" si="2"/>
        <v>130.66382228215573</v>
      </c>
      <c r="J63">
        <v>43.878545757999987</v>
      </c>
      <c r="K63" s="4">
        <f t="shared" si="3"/>
        <v>98.088233257777304</v>
      </c>
      <c r="L63">
        <v>59.160165790000001</v>
      </c>
      <c r="M63" s="4">
        <f t="shared" si="4"/>
        <v>132.24950921533909</v>
      </c>
      <c r="N63">
        <v>45.356110569999998</v>
      </c>
      <c r="O63" s="4">
        <f t="shared" si="5"/>
        <v>101.39125343379389</v>
      </c>
      <c r="P63">
        <v>16.321395636999998</v>
      </c>
      <c r="Q63" s="4">
        <f t="shared" si="6"/>
        <v>36.485640867955155</v>
      </c>
      <c r="R63">
        <v>33.599206922</v>
      </c>
      <c r="S63" s="4">
        <f t="shared" si="7"/>
        <v>75.109299747943183</v>
      </c>
      <c r="T63">
        <v>23.7713027</v>
      </c>
      <c r="U63" s="4">
        <f t="shared" si="8"/>
        <v>53.139525109573988</v>
      </c>
      <c r="V63">
        <v>15.032194851</v>
      </c>
      <c r="W63" s="4">
        <f t="shared" si="9"/>
        <v>33.603698788317701</v>
      </c>
      <c r="X63">
        <v>34.038898465000003</v>
      </c>
      <c r="Y63" s="4">
        <f t="shared" si="10"/>
        <v>76.092207587895771</v>
      </c>
      <c r="Z63">
        <v>16.493568423999999</v>
      </c>
      <c r="AA63" s="4">
        <f t="shared" si="11"/>
        <v>36.870524281937001</v>
      </c>
      <c r="AB63">
        <v>4.989967644</v>
      </c>
      <c r="AC63" s="4">
        <f t="shared" si="12"/>
        <v>11.154816135268</v>
      </c>
      <c r="AD63">
        <v>32.049446109999998</v>
      </c>
      <c r="AE63" s="4">
        <f t="shared" si="13"/>
        <v>71.644889125503553</v>
      </c>
      <c r="AF63">
        <v>16.544567109999999</v>
      </c>
      <c r="AG63" s="4">
        <f t="shared" si="14"/>
        <v>36.984529222661273</v>
      </c>
      <c r="AH63">
        <v>2.9352408649999999</v>
      </c>
      <c r="AI63" s="4">
        <f t="shared" si="15"/>
        <v>6.5615800537643727</v>
      </c>
      <c r="AJ63">
        <v>31.402496339999999</v>
      </c>
      <c r="AK63" s="4">
        <f t="shared" si="16"/>
        <v>70.198666174182165</v>
      </c>
      <c r="AL63">
        <v>21.817296986999999</v>
      </c>
      <c r="AM63" s="4">
        <f t="shared" si="17"/>
        <v>48.771445793070455</v>
      </c>
      <c r="AN63">
        <v>13.191794634000001</v>
      </c>
      <c r="AO63" s="4">
        <f t="shared" si="18"/>
        <v>29.48957871769419</v>
      </c>
      <c r="AP63">
        <v>34.949245449999999</v>
      </c>
      <c r="AQ63" s="4">
        <f t="shared" si="19"/>
        <v>78.1272414721697</v>
      </c>
      <c r="AR63">
        <v>27.719848633000002</v>
      </c>
      <c r="AS63" s="4">
        <f t="shared" si="20"/>
        <v>61.966296549111455</v>
      </c>
      <c r="AT63">
        <v>5.1526101820000001</v>
      </c>
      <c r="AU63" s="4">
        <f t="shared" si="21"/>
        <v>11.51839516755788</v>
      </c>
      <c r="AV63">
        <v>4.7237852820000006</v>
      </c>
      <c r="AW63" s="4">
        <f t="shared" si="22"/>
        <v>10.559779149380613</v>
      </c>
      <c r="AX63">
        <v>9.7924144269999989</v>
      </c>
      <c r="AY63" s="4">
        <f t="shared" si="23"/>
        <v>21.890439026167506</v>
      </c>
      <c r="AZ63">
        <v>7.1069793710000004</v>
      </c>
      <c r="BA63" s="4">
        <f t="shared" si="24"/>
        <v>15.887287015973209</v>
      </c>
      <c r="BB63">
        <v>7.9531073570000004</v>
      </c>
      <c r="BC63" s="4">
        <f t="shared" si="25"/>
        <v>17.778762629464104</v>
      </c>
      <c r="BD63">
        <v>6.436525584</v>
      </c>
      <c r="BE63" s="4">
        <f t="shared" si="26"/>
        <v>14.388522042983508</v>
      </c>
      <c r="BF63">
        <v>5.1258444780000003</v>
      </c>
      <c r="BG63" s="4">
        <f t="shared" si="27"/>
        <v>11.458561812283522</v>
      </c>
      <c r="BH63">
        <v>5.0392498379999999</v>
      </c>
      <c r="BI63" s="4">
        <f t="shared" si="28"/>
        <v>11.264983946370664</v>
      </c>
      <c r="BJ63">
        <v>7.205456495</v>
      </c>
      <c r="BK63" s="4">
        <f t="shared" si="29"/>
        <v>16.107427563992758</v>
      </c>
      <c r="BL63">
        <v>6.3049434419999999</v>
      </c>
      <c r="BM63" s="4">
        <f t="shared" si="30"/>
        <v>14.094376929145024</v>
      </c>
      <c r="BN63">
        <v>6.9401367299999999</v>
      </c>
      <c r="BO63" s="4">
        <f t="shared" si="31"/>
        <v>15.514318869352991</v>
      </c>
      <c r="BP63">
        <v>7.7263791560000001</v>
      </c>
      <c r="BQ63" s="4">
        <f t="shared" si="32"/>
        <v>17.271923392164414</v>
      </c>
      <c r="BR63">
        <v>4.005204558</v>
      </c>
      <c r="BS63" s="4">
        <f t="shared" si="33"/>
        <v>8.9534288829202939</v>
      </c>
      <c r="BT63">
        <v>11.615532635999999</v>
      </c>
      <c r="BU63" s="4">
        <f t="shared" si="34"/>
        <v>25.965926056370403</v>
      </c>
      <c r="BV63">
        <v>12.351523638</v>
      </c>
      <c r="BW63" s="4">
        <f t="shared" si="35"/>
        <v>27.611196104242012</v>
      </c>
      <c r="BX63">
        <v>4.2120996110000002</v>
      </c>
      <c r="BY63" s="4">
        <f t="shared" si="36"/>
        <v>9.4159321374827858</v>
      </c>
      <c r="BZ63">
        <v>4.5262057779999996</v>
      </c>
      <c r="CA63" s="4">
        <f t="shared" si="37"/>
        <v>10.118100325697752</v>
      </c>
      <c r="CB63">
        <v>4.1872520450000001</v>
      </c>
      <c r="CC63" s="4">
        <f t="shared" si="38"/>
        <v>9.36038668109647</v>
      </c>
      <c r="CD63">
        <v>6.4799873830000001</v>
      </c>
      <c r="CE63" s="4">
        <f t="shared" si="39"/>
        <v>14.485678660288615</v>
      </c>
    </row>
    <row r="64" spans="1:83" x14ac:dyDescent="0.2">
      <c r="A64" s="2">
        <v>42066</v>
      </c>
      <c r="B64">
        <v>2020</v>
      </c>
      <c r="C64">
        <v>2</v>
      </c>
      <c r="D64">
        <v>46.465570927000002</v>
      </c>
      <c r="E64" s="4">
        <f t="shared" si="0"/>
        <v>11.702472058255308</v>
      </c>
      <c r="F64">
        <v>53.151042938000003</v>
      </c>
      <c r="G64" s="4">
        <f t="shared" si="1"/>
        <v>13.386225164999425</v>
      </c>
      <c r="H64">
        <v>64.614107607999998</v>
      </c>
      <c r="I64" s="4">
        <f t="shared" si="2"/>
        <v>16.273227117765693</v>
      </c>
      <c r="J64">
        <v>39.538730145000002</v>
      </c>
      <c r="K64" s="4">
        <f t="shared" si="3"/>
        <v>9.9579296134699007</v>
      </c>
      <c r="L64">
        <v>49.153155323</v>
      </c>
      <c r="M64" s="4">
        <f t="shared" si="4"/>
        <v>12.379347014721565</v>
      </c>
      <c r="N64">
        <v>43.998954298000001</v>
      </c>
      <c r="O64" s="4">
        <f t="shared" si="5"/>
        <v>11.081248395155381</v>
      </c>
      <c r="P64">
        <v>15.242963790999999</v>
      </c>
      <c r="Q64" s="4">
        <f t="shared" si="6"/>
        <v>3.8389791471500558</v>
      </c>
      <c r="R64">
        <v>32.223238469000002</v>
      </c>
      <c r="S64" s="4">
        <f t="shared" si="7"/>
        <v>8.1155044538762233</v>
      </c>
      <c r="T64">
        <v>30.784882068999998</v>
      </c>
      <c r="U64" s="4">
        <f t="shared" si="8"/>
        <v>7.7532507411809188</v>
      </c>
      <c r="V64">
        <v>18.537180423999999</v>
      </c>
      <c r="W64" s="4">
        <f t="shared" si="9"/>
        <v>4.6686359733211429</v>
      </c>
      <c r="X64">
        <v>31.408207416</v>
      </c>
      <c r="Y64" s="4">
        <f t="shared" si="10"/>
        <v>7.910236813038936</v>
      </c>
      <c r="Z64">
        <v>19.929113388000001</v>
      </c>
      <c r="AA64" s="4">
        <f t="shared" si="11"/>
        <v>5.019197825746577</v>
      </c>
      <c r="AB64">
        <v>0</v>
      </c>
      <c r="AC64" s="4">
        <f t="shared" si="12"/>
        <v>0</v>
      </c>
      <c r="AD64">
        <v>31.298644542000002</v>
      </c>
      <c r="AE64" s="4">
        <f t="shared" si="13"/>
        <v>7.8826431249376645</v>
      </c>
      <c r="AF64">
        <v>18.263289928999999</v>
      </c>
      <c r="AG64" s="4">
        <f t="shared" si="14"/>
        <v>4.5996559564868562</v>
      </c>
      <c r="AH64">
        <v>0</v>
      </c>
      <c r="AI64" s="4">
        <f t="shared" si="15"/>
        <v>0</v>
      </c>
      <c r="AJ64">
        <v>37.795527935000003</v>
      </c>
      <c r="AK64" s="4">
        <f t="shared" si="16"/>
        <v>9.5188997092325653</v>
      </c>
      <c r="AL64">
        <v>28.918213845</v>
      </c>
      <c r="AM64" s="4">
        <f t="shared" si="17"/>
        <v>7.2831256077200139</v>
      </c>
      <c r="AN64">
        <v>17.863216876999999</v>
      </c>
      <c r="AO64" s="4">
        <f t="shared" si="18"/>
        <v>4.4988965421745615</v>
      </c>
      <c r="AP64">
        <v>42.271070479999999</v>
      </c>
      <c r="AQ64" s="4">
        <f t="shared" si="19"/>
        <v>10.646076466851216</v>
      </c>
      <c r="AR64">
        <v>41.548473835000003</v>
      </c>
      <c r="AS64" s="4">
        <f t="shared" si="20"/>
        <v>10.464088666447632</v>
      </c>
      <c r="AT64">
        <v>10.041500092</v>
      </c>
      <c r="AU64" s="4">
        <f t="shared" si="21"/>
        <v>2.528977303092077</v>
      </c>
      <c r="AV64">
        <v>5.4282772550000002</v>
      </c>
      <c r="AW64" s="4">
        <f t="shared" si="22"/>
        <v>1.36712541423198</v>
      </c>
      <c r="AX64">
        <v>13.162050724</v>
      </c>
      <c r="AY64" s="4">
        <f t="shared" si="23"/>
        <v>3.3148959058081182</v>
      </c>
      <c r="AZ64">
        <v>10.470134258</v>
      </c>
      <c r="BA64" s="4">
        <f t="shared" si="24"/>
        <v>2.636929906509113</v>
      </c>
      <c r="BB64">
        <v>16.515587806999999</v>
      </c>
      <c r="BC64" s="4">
        <f t="shared" si="25"/>
        <v>4.159492737982764</v>
      </c>
      <c r="BD64">
        <v>15.105444431</v>
      </c>
      <c r="BE64" s="4">
        <f t="shared" si="26"/>
        <v>3.8043445470415698</v>
      </c>
      <c r="BF64">
        <v>15.887879849000001</v>
      </c>
      <c r="BG64" s="4">
        <f t="shared" si="27"/>
        <v>4.0014028944127782</v>
      </c>
      <c r="BH64">
        <v>14.451622962</v>
      </c>
      <c r="BI64" s="4">
        <f t="shared" si="28"/>
        <v>3.6396779493991862</v>
      </c>
      <c r="BJ64">
        <v>14.514843942000001</v>
      </c>
      <c r="BK64" s="4">
        <f t="shared" si="29"/>
        <v>3.655600313790401</v>
      </c>
      <c r="BL64">
        <v>15.182218074</v>
      </c>
      <c r="BM64" s="4">
        <f t="shared" si="30"/>
        <v>3.823680184032439</v>
      </c>
      <c r="BN64">
        <v>19.315603255999999</v>
      </c>
      <c r="BO64" s="4">
        <f t="shared" si="31"/>
        <v>4.8646837407164787</v>
      </c>
      <c r="BP64">
        <v>20.904940606</v>
      </c>
      <c r="BQ64" s="4">
        <f t="shared" si="32"/>
        <v>5.2649623891535526</v>
      </c>
      <c r="BR64">
        <v>12.044239043999999</v>
      </c>
      <c r="BS64" s="4">
        <f t="shared" si="33"/>
        <v>3.0333721950128143</v>
      </c>
      <c r="BT64">
        <v>14.636552811</v>
      </c>
      <c r="BU64" s="4">
        <f t="shared" si="34"/>
        <v>3.6862530015826587</v>
      </c>
      <c r="BV64">
        <v>15.814848423000001</v>
      </c>
      <c r="BW64" s="4">
        <f t="shared" si="35"/>
        <v>3.9830097442784083</v>
      </c>
      <c r="BX64">
        <v>6.6598253249999999</v>
      </c>
      <c r="BY64" s="4">
        <f t="shared" si="36"/>
        <v>1.6772939237336828</v>
      </c>
      <c r="BZ64">
        <v>11.121018886</v>
      </c>
      <c r="CA64" s="4">
        <f t="shared" si="37"/>
        <v>2.8008568532862128</v>
      </c>
      <c r="CB64">
        <v>11.475745677999999</v>
      </c>
      <c r="CC64" s="4">
        <f t="shared" si="38"/>
        <v>2.8901956968402125</v>
      </c>
      <c r="CD64">
        <v>18.629299640999999</v>
      </c>
      <c r="CE64" s="4">
        <f t="shared" si="39"/>
        <v>4.6918364321009243</v>
      </c>
    </row>
    <row r="65" spans="1:83" x14ac:dyDescent="0.2">
      <c r="A65" s="2">
        <v>42067</v>
      </c>
      <c r="B65">
        <v>2020</v>
      </c>
      <c r="C65">
        <v>3</v>
      </c>
      <c r="D65">
        <v>19.414913653999999</v>
      </c>
      <c r="E65" s="4">
        <f t="shared" si="0"/>
        <v>1.7425369134522728</v>
      </c>
      <c r="F65">
        <v>21.175186633999999</v>
      </c>
      <c r="G65" s="4">
        <f t="shared" si="1"/>
        <v>1.9005258028218981</v>
      </c>
      <c r="H65">
        <v>24.167144298</v>
      </c>
      <c r="I65" s="4">
        <f t="shared" si="2"/>
        <v>2.1690614639079979</v>
      </c>
      <c r="J65">
        <v>19.252787589</v>
      </c>
      <c r="K65" s="4">
        <f t="shared" si="3"/>
        <v>1.7279856948411585</v>
      </c>
      <c r="L65">
        <v>25.788288594000001</v>
      </c>
      <c r="M65" s="4">
        <f t="shared" si="4"/>
        <v>2.3145632069575011</v>
      </c>
      <c r="N65">
        <v>19.835083961999999</v>
      </c>
      <c r="O65" s="4">
        <f t="shared" si="5"/>
        <v>1.7802482463314568</v>
      </c>
      <c r="P65">
        <v>11.618350982999999</v>
      </c>
      <c r="Q65" s="4">
        <f t="shared" si="6"/>
        <v>1.0427759722305483</v>
      </c>
      <c r="R65">
        <v>15.620440005000001</v>
      </c>
      <c r="S65" s="4">
        <f t="shared" si="7"/>
        <v>1.4019734415595102</v>
      </c>
      <c r="T65">
        <v>14.788888455</v>
      </c>
      <c r="U65" s="4">
        <f t="shared" si="8"/>
        <v>1.3273396163910465</v>
      </c>
      <c r="V65">
        <v>11.832105159999999</v>
      </c>
      <c r="W65" s="4">
        <f t="shared" si="9"/>
        <v>1.061960942633462</v>
      </c>
      <c r="X65">
        <v>14.793445349000001</v>
      </c>
      <c r="Y65" s="4">
        <f t="shared" si="10"/>
        <v>1.3277486089906121</v>
      </c>
      <c r="Z65">
        <v>11.343102932000001</v>
      </c>
      <c r="AA65" s="4">
        <f t="shared" si="11"/>
        <v>1.0180717732950835</v>
      </c>
      <c r="AB65">
        <v>7.0382509229999997</v>
      </c>
      <c r="AC65" s="4">
        <f t="shared" si="12"/>
        <v>0.63170057091344456</v>
      </c>
      <c r="AD65">
        <v>13.920534611000001</v>
      </c>
      <c r="AE65" s="4">
        <f t="shared" si="13"/>
        <v>1.2494026935659261</v>
      </c>
      <c r="AF65">
        <v>10.515139102999999</v>
      </c>
      <c r="AG65" s="4">
        <f t="shared" si="14"/>
        <v>0.94375995503270649</v>
      </c>
      <c r="AH65">
        <v>5.5194084649999997</v>
      </c>
      <c r="AI65" s="4">
        <f t="shared" si="15"/>
        <v>0.49538067292418392</v>
      </c>
      <c r="AJ65">
        <v>16.182691097999999</v>
      </c>
      <c r="AK65" s="4">
        <f t="shared" si="16"/>
        <v>1.452436879184922</v>
      </c>
      <c r="AL65">
        <v>12.584591389</v>
      </c>
      <c r="AM65" s="4">
        <f t="shared" si="17"/>
        <v>1.1294984580849845</v>
      </c>
      <c r="AN65">
        <v>9.101683615999999</v>
      </c>
      <c r="AO65" s="4">
        <f t="shared" si="18"/>
        <v>0.81689880048352237</v>
      </c>
      <c r="AP65">
        <v>17.922385692999999</v>
      </c>
      <c r="AQ65" s="4">
        <f t="shared" si="19"/>
        <v>1.6085788071865608</v>
      </c>
      <c r="AR65">
        <v>17.433735371000001</v>
      </c>
      <c r="AS65" s="4">
        <f t="shared" si="20"/>
        <v>1.5647212222891946</v>
      </c>
      <c r="AT65">
        <v>7.8790731430000003</v>
      </c>
      <c r="AU65" s="4">
        <f t="shared" si="21"/>
        <v>0.70716646183174003</v>
      </c>
      <c r="AV65">
        <v>7.1153206830000002</v>
      </c>
      <c r="AW65" s="4">
        <f t="shared" si="22"/>
        <v>0.63861777405450715</v>
      </c>
      <c r="AX65">
        <v>8.6874663830000003</v>
      </c>
      <c r="AY65" s="4">
        <f t="shared" si="23"/>
        <v>0.77972177093016914</v>
      </c>
      <c r="AZ65">
        <v>8.3446876999999997</v>
      </c>
      <c r="BA65" s="4">
        <f t="shared" si="24"/>
        <v>0.74895652937839974</v>
      </c>
      <c r="BB65">
        <v>9.5541992190000009</v>
      </c>
      <c r="BC65" s="4">
        <f t="shared" si="25"/>
        <v>0.8575132042451461</v>
      </c>
      <c r="BD65">
        <v>8.8793492319999991</v>
      </c>
      <c r="BE65" s="4">
        <f t="shared" si="26"/>
        <v>0.79694373510676486</v>
      </c>
      <c r="BF65">
        <v>9.7917613980000002</v>
      </c>
      <c r="BG65" s="4">
        <f t="shared" si="27"/>
        <v>0.87883500219516519</v>
      </c>
      <c r="BH65">
        <v>8.5397939679999997</v>
      </c>
      <c r="BI65" s="4">
        <f t="shared" si="28"/>
        <v>0.76646780344815935</v>
      </c>
      <c r="BJ65">
        <v>10.363736153</v>
      </c>
      <c r="BK65" s="4">
        <f t="shared" si="29"/>
        <v>0.93017116273198908</v>
      </c>
      <c r="BL65">
        <v>10.294224739000001</v>
      </c>
      <c r="BM65" s="4">
        <f t="shared" si="30"/>
        <v>0.92393233999190927</v>
      </c>
      <c r="BN65">
        <v>11.659948349</v>
      </c>
      <c r="BO65" s="4">
        <f t="shared" si="31"/>
        <v>1.0465094395561914</v>
      </c>
      <c r="BP65">
        <v>11.675986766999999</v>
      </c>
      <c r="BQ65" s="4">
        <f t="shared" si="32"/>
        <v>1.0479489275650713</v>
      </c>
      <c r="BR65">
        <v>8.6817734239999993</v>
      </c>
      <c r="BS65" s="4">
        <f t="shared" si="33"/>
        <v>0.77921081366396316</v>
      </c>
      <c r="BT65">
        <v>9.9492478369999997</v>
      </c>
      <c r="BU65" s="4">
        <f t="shared" si="34"/>
        <v>0.89296980280341354</v>
      </c>
      <c r="BV65">
        <v>10.926461696000001</v>
      </c>
      <c r="BW65" s="4">
        <f t="shared" si="35"/>
        <v>0.98067718342798904</v>
      </c>
      <c r="BX65">
        <v>7.9096126560000002</v>
      </c>
      <c r="BY65" s="4">
        <f t="shared" si="36"/>
        <v>0.70990745927678356</v>
      </c>
      <c r="BZ65">
        <v>8.4688766000000015</v>
      </c>
      <c r="CA65" s="4">
        <f t="shared" si="37"/>
        <v>0.76010279283069437</v>
      </c>
      <c r="CB65">
        <v>10.571216107</v>
      </c>
      <c r="CC65" s="4">
        <f t="shared" si="38"/>
        <v>0.94879300597525751</v>
      </c>
      <c r="CD65">
        <v>15.33588791</v>
      </c>
      <c r="CE65" s="4">
        <f t="shared" si="39"/>
        <v>1.376434181474492</v>
      </c>
    </row>
    <row r="66" spans="1:83" x14ac:dyDescent="0.2">
      <c r="A66" s="2">
        <v>42068</v>
      </c>
      <c r="B66">
        <v>2020</v>
      </c>
      <c r="C66">
        <v>4</v>
      </c>
      <c r="D66">
        <v>57.783445358000002</v>
      </c>
      <c r="E66" s="4">
        <f t="shared" si="0"/>
        <v>14.68030889031901</v>
      </c>
      <c r="F66">
        <v>73.841602327999993</v>
      </c>
      <c r="G66" s="4">
        <f t="shared" si="1"/>
        <v>18.760001665097306</v>
      </c>
      <c r="H66">
        <v>76.336172110000007</v>
      </c>
      <c r="I66" s="4">
        <f t="shared" si="2"/>
        <v>19.393765448501505</v>
      </c>
      <c r="J66">
        <v>53.285149575000013</v>
      </c>
      <c r="K66" s="4">
        <f t="shared" si="3"/>
        <v>13.53748379283083</v>
      </c>
      <c r="L66">
        <v>76.722320562000007</v>
      </c>
      <c r="M66" s="4">
        <f t="shared" si="4"/>
        <v>19.491869300180085</v>
      </c>
      <c r="N66">
        <v>51.041360855999997</v>
      </c>
      <c r="O66" s="4">
        <f t="shared" si="5"/>
        <v>12.967432781239964</v>
      </c>
      <c r="P66">
        <v>45.957867621999988</v>
      </c>
      <c r="Q66" s="4">
        <f t="shared" si="6"/>
        <v>11.675933971250178</v>
      </c>
      <c r="R66">
        <v>39.330965044999999</v>
      </c>
      <c r="S66" s="4">
        <f t="shared" si="7"/>
        <v>9.9923206765828674</v>
      </c>
      <c r="T66">
        <v>44.852700710999997</v>
      </c>
      <c r="U66" s="4">
        <f t="shared" si="8"/>
        <v>11.395158196660729</v>
      </c>
      <c r="V66">
        <v>38.294198512999998</v>
      </c>
      <c r="W66" s="4">
        <f t="shared" si="9"/>
        <v>9.7289225208895136</v>
      </c>
      <c r="X66">
        <v>38.477353573000002</v>
      </c>
      <c r="Y66" s="4">
        <f t="shared" si="10"/>
        <v>9.7754544097197247</v>
      </c>
      <c r="Z66">
        <v>30.218880176999999</v>
      </c>
      <c r="AA66" s="4">
        <f t="shared" si="11"/>
        <v>7.677328559579899</v>
      </c>
      <c r="AB66">
        <v>20.774415014999999</v>
      </c>
      <c r="AC66" s="4">
        <f t="shared" si="12"/>
        <v>5.277892786530737</v>
      </c>
      <c r="AD66">
        <v>42.194588424000003</v>
      </c>
      <c r="AE66" s="4">
        <f t="shared" si="13"/>
        <v>10.719845238138609</v>
      </c>
      <c r="AF66">
        <v>31.777200222000001</v>
      </c>
      <c r="AG66" s="4">
        <f t="shared" si="14"/>
        <v>8.0732312176654926</v>
      </c>
      <c r="AH66">
        <v>24.154350400999999</v>
      </c>
      <c r="AI66" s="4">
        <f t="shared" si="15"/>
        <v>6.1365902073644367</v>
      </c>
      <c r="AJ66">
        <v>59.139417641999998</v>
      </c>
      <c r="AK66" s="4">
        <f t="shared" si="16"/>
        <v>15.024803612855926</v>
      </c>
      <c r="AL66">
        <v>56.745711083000003</v>
      </c>
      <c r="AM66" s="4">
        <f t="shared" si="17"/>
        <v>14.416664872405459</v>
      </c>
      <c r="AN66">
        <v>44.720459937999998</v>
      </c>
      <c r="AO66" s="4">
        <f t="shared" si="18"/>
        <v>11.361561456564894</v>
      </c>
      <c r="AP66">
        <v>75.468972676999996</v>
      </c>
      <c r="AQ66" s="4">
        <f t="shared" si="19"/>
        <v>19.173447060300948</v>
      </c>
      <c r="AR66">
        <v>76.766630172999996</v>
      </c>
      <c r="AS66" s="4">
        <f t="shared" si="20"/>
        <v>19.503126482444998</v>
      </c>
      <c r="AT66">
        <v>51.349050521000002</v>
      </c>
      <c r="AU66" s="4">
        <f t="shared" si="21"/>
        <v>13.045603601560105</v>
      </c>
      <c r="AV66">
        <v>39.020462037000001</v>
      </c>
      <c r="AW66" s="4">
        <f t="shared" si="22"/>
        <v>9.9134351058009216</v>
      </c>
      <c r="AX66">
        <v>50.306685451</v>
      </c>
      <c r="AY66" s="4">
        <f t="shared" si="23"/>
        <v>12.780783096149371</v>
      </c>
      <c r="AZ66">
        <v>49.986546519000001</v>
      </c>
      <c r="BA66" s="4">
        <f t="shared" si="24"/>
        <v>12.699449448069728</v>
      </c>
      <c r="BB66">
        <v>43.966870784000001</v>
      </c>
      <c r="BC66" s="4">
        <f t="shared" si="25"/>
        <v>11.170106594561195</v>
      </c>
      <c r="BD66">
        <v>49.653135296000002</v>
      </c>
      <c r="BE66" s="4">
        <f t="shared" si="26"/>
        <v>12.614743876935741</v>
      </c>
      <c r="BF66">
        <v>45.762780184999997</v>
      </c>
      <c r="BG66" s="4">
        <f t="shared" si="27"/>
        <v>11.626370574363113</v>
      </c>
      <c r="BH66">
        <v>44.157850267000001</v>
      </c>
      <c r="BI66" s="4">
        <f t="shared" si="28"/>
        <v>11.218626335549006</v>
      </c>
      <c r="BJ66">
        <v>43.331753253999999</v>
      </c>
      <c r="BK66" s="4">
        <f t="shared" si="29"/>
        <v>11.008750319173133</v>
      </c>
      <c r="BL66">
        <v>47.831186291000002</v>
      </c>
      <c r="BM66" s="4">
        <f t="shared" si="30"/>
        <v>12.151864344396646</v>
      </c>
      <c r="BN66">
        <v>48.323325158000003</v>
      </c>
      <c r="BO66" s="4">
        <f t="shared" si="31"/>
        <v>12.276895839831546</v>
      </c>
      <c r="BP66">
        <v>56.259498596</v>
      </c>
      <c r="BQ66" s="4">
        <f t="shared" si="32"/>
        <v>14.293139017357046</v>
      </c>
      <c r="BR66">
        <v>54.242693905000003</v>
      </c>
      <c r="BS66" s="4">
        <f t="shared" si="33"/>
        <v>13.780754965975358</v>
      </c>
      <c r="BT66">
        <v>42.151063446000002</v>
      </c>
      <c r="BU66" s="4">
        <f t="shared" si="34"/>
        <v>10.708787397652884</v>
      </c>
      <c r="BV66">
        <v>44.582441332000002</v>
      </c>
      <c r="BW66" s="4">
        <f t="shared" si="35"/>
        <v>11.326496815539459</v>
      </c>
      <c r="BX66">
        <v>32.708746910999999</v>
      </c>
      <c r="BY66" s="4">
        <f t="shared" si="36"/>
        <v>8.3098974990813446</v>
      </c>
      <c r="BZ66">
        <v>39.078079701999997</v>
      </c>
      <c r="CA66" s="4">
        <f t="shared" si="37"/>
        <v>9.9280732969731229</v>
      </c>
      <c r="CB66">
        <v>50.975177766999998</v>
      </c>
      <c r="CC66" s="4">
        <f t="shared" si="38"/>
        <v>12.950618481161179</v>
      </c>
      <c r="CD66">
        <v>62.125607479999999</v>
      </c>
      <c r="CE66" s="4">
        <f t="shared" si="39"/>
        <v>15.783467083948212</v>
      </c>
    </row>
    <row r="67" spans="1:83" x14ac:dyDescent="0.2">
      <c r="A67" s="2">
        <v>42069</v>
      </c>
      <c r="B67">
        <v>2020</v>
      </c>
      <c r="C67">
        <v>5</v>
      </c>
      <c r="D67">
        <v>197.77546262199999</v>
      </c>
      <c r="E67" s="4">
        <f t="shared" si="0"/>
        <v>95.84463579902507</v>
      </c>
      <c r="F67">
        <v>198.33352041800001</v>
      </c>
      <c r="G67" s="4">
        <f t="shared" si="1"/>
        <v>96.115078074842941</v>
      </c>
      <c r="H67">
        <v>221.31850099100001</v>
      </c>
      <c r="I67" s="4">
        <f t="shared" si="2"/>
        <v>107.2539072433396</v>
      </c>
      <c r="J67">
        <v>214.36647320899999</v>
      </c>
      <c r="K67" s="4">
        <f t="shared" si="3"/>
        <v>103.88486154880874</v>
      </c>
      <c r="L67">
        <v>217.101879599</v>
      </c>
      <c r="M67" s="4">
        <f t="shared" si="4"/>
        <v>105.21047609035053</v>
      </c>
      <c r="N67">
        <v>203.52542066999999</v>
      </c>
      <c r="O67" s="4">
        <f t="shared" si="5"/>
        <v>98.631142414476813</v>
      </c>
      <c r="P67">
        <v>211.39801120600001</v>
      </c>
      <c r="Q67" s="4">
        <f t="shared" si="6"/>
        <v>102.44630513847916</v>
      </c>
      <c r="R67">
        <v>198.75084065600001</v>
      </c>
      <c r="S67" s="4">
        <f t="shared" si="7"/>
        <v>96.31731704671742</v>
      </c>
      <c r="T67">
        <v>198.00810718400001</v>
      </c>
      <c r="U67" s="4">
        <f t="shared" si="8"/>
        <v>95.957378466997653</v>
      </c>
      <c r="V67">
        <v>187.84747028499999</v>
      </c>
      <c r="W67" s="4">
        <f t="shared" si="9"/>
        <v>91.033397857066987</v>
      </c>
      <c r="X67">
        <v>188.17166377199999</v>
      </c>
      <c r="Y67" s="4">
        <f t="shared" si="10"/>
        <v>91.190506359193563</v>
      </c>
      <c r="Z67">
        <v>165.69415711799999</v>
      </c>
      <c r="AA67" s="4">
        <f t="shared" si="11"/>
        <v>80.297605842811961</v>
      </c>
      <c r="AB67">
        <v>165.457763672</v>
      </c>
      <c r="AC67" s="4">
        <f t="shared" si="12"/>
        <v>80.183046415485791</v>
      </c>
      <c r="AD67">
        <v>188.13339662199999</v>
      </c>
      <c r="AE67" s="4">
        <f t="shared" si="13"/>
        <v>91.171961586216199</v>
      </c>
      <c r="AF67">
        <v>166.31628609000001</v>
      </c>
      <c r="AG67" s="4">
        <f t="shared" si="14"/>
        <v>80.599097867913827</v>
      </c>
      <c r="AH67">
        <v>159.360248098</v>
      </c>
      <c r="AI67" s="4">
        <f t="shared" si="15"/>
        <v>77.228108771952733</v>
      </c>
      <c r="AJ67">
        <v>180.32328367700001</v>
      </c>
      <c r="AK67" s="4">
        <f t="shared" si="16"/>
        <v>87.387076338881641</v>
      </c>
      <c r="AL67">
        <v>181.216204651</v>
      </c>
      <c r="AM67" s="4">
        <f t="shared" si="17"/>
        <v>87.819797791865469</v>
      </c>
      <c r="AN67">
        <v>177.637155541</v>
      </c>
      <c r="AO67" s="4">
        <f t="shared" si="18"/>
        <v>86.085342698665173</v>
      </c>
      <c r="AP67">
        <v>183.063627698</v>
      </c>
      <c r="AQ67" s="4">
        <f t="shared" si="19"/>
        <v>88.715083722480941</v>
      </c>
      <c r="AR67">
        <v>185.91827393599999</v>
      </c>
      <c r="AS67" s="4">
        <f t="shared" si="20"/>
        <v>90.098483490019802</v>
      </c>
      <c r="AT67">
        <v>197.87046742699999</v>
      </c>
      <c r="AU67" s="4">
        <f t="shared" si="21"/>
        <v>95.890676398873325</v>
      </c>
      <c r="AV67">
        <v>174.735546591</v>
      </c>
      <c r="AW67" s="4">
        <f t="shared" si="22"/>
        <v>84.679184172440557</v>
      </c>
      <c r="AX67">
        <v>190.80396796299999</v>
      </c>
      <c r="AY67" s="4">
        <f t="shared" si="23"/>
        <v>92.466156195396138</v>
      </c>
      <c r="AZ67">
        <v>196.60996866400001</v>
      </c>
      <c r="BA67" s="4">
        <f t="shared" si="24"/>
        <v>95.279821830449137</v>
      </c>
      <c r="BB67">
        <v>193.58383511400001</v>
      </c>
      <c r="BC67" s="4">
        <f t="shared" si="25"/>
        <v>93.813317016688188</v>
      </c>
      <c r="BD67">
        <v>195.000537874</v>
      </c>
      <c r="BE67" s="4">
        <f t="shared" si="26"/>
        <v>94.499870132365587</v>
      </c>
      <c r="BF67">
        <v>191.44613218800001</v>
      </c>
      <c r="BG67" s="4">
        <f t="shared" si="27"/>
        <v>92.777357572211642</v>
      </c>
      <c r="BH67">
        <v>195.104486936</v>
      </c>
      <c r="BI67" s="4">
        <f t="shared" si="28"/>
        <v>94.550245238847239</v>
      </c>
      <c r="BJ67">
        <v>190.02460338</v>
      </c>
      <c r="BK67" s="4">
        <f t="shared" si="29"/>
        <v>92.08846568909172</v>
      </c>
      <c r="BL67">
        <v>186.59452055899999</v>
      </c>
      <c r="BM67" s="4">
        <f t="shared" si="30"/>
        <v>90.426201652993498</v>
      </c>
      <c r="BN67">
        <v>202.30197525200001</v>
      </c>
      <c r="BO67" s="4">
        <f t="shared" si="31"/>
        <v>98.038244392883968</v>
      </c>
      <c r="BP67">
        <v>196.892019745</v>
      </c>
      <c r="BQ67" s="4">
        <f t="shared" si="32"/>
        <v>95.41650755868244</v>
      </c>
      <c r="BR67">
        <v>189.88395977600001</v>
      </c>
      <c r="BS67" s="4">
        <f t="shared" si="33"/>
        <v>92.020307916514014</v>
      </c>
      <c r="BT67">
        <v>195.75294733000001</v>
      </c>
      <c r="BU67" s="4">
        <f t="shared" si="34"/>
        <v>94.864497823414865</v>
      </c>
      <c r="BV67">
        <v>181.22373580300001</v>
      </c>
      <c r="BW67" s="4">
        <f t="shared" si="35"/>
        <v>87.823447488905842</v>
      </c>
      <c r="BX67">
        <v>172.826672078</v>
      </c>
      <c r="BY67" s="4">
        <f t="shared" si="36"/>
        <v>83.75411803906384</v>
      </c>
      <c r="BZ67">
        <v>183.396426206</v>
      </c>
      <c r="CA67" s="4">
        <f t="shared" si="37"/>
        <v>88.87636233293567</v>
      </c>
      <c r="CB67">
        <v>208.322227489</v>
      </c>
      <c r="CC67" s="4">
        <f t="shared" si="38"/>
        <v>100.9557391893762</v>
      </c>
      <c r="CD67">
        <v>203.181080337</v>
      </c>
      <c r="CE67" s="4">
        <f t="shared" si="39"/>
        <v>98.464270481175475</v>
      </c>
    </row>
    <row r="68" spans="1:83" x14ac:dyDescent="0.2">
      <c r="A68" s="2">
        <v>42070</v>
      </c>
      <c r="B68">
        <v>2020</v>
      </c>
      <c r="C68">
        <v>6</v>
      </c>
      <c r="D68">
        <v>153.00060694300001</v>
      </c>
      <c r="E68" s="4">
        <f t="shared" ref="E68:E98" si="40" xml:space="preserve"> D68 * VLOOKUP(C68, $CH$4:$CI$15, 2, FALSE)</f>
        <v>220.71953504924505</v>
      </c>
      <c r="F68">
        <v>135.531808563</v>
      </c>
      <c r="G68" s="4">
        <f t="shared" ref="G68:G98" si="41" xml:space="preserve"> F68 * VLOOKUP(C68, $CH$4:$CI$15, 2, FALSE)</f>
        <v>195.51894837615401</v>
      </c>
      <c r="H68">
        <v>134.975553969</v>
      </c>
      <c r="I68" s="4">
        <f t="shared" ref="I68:I98" si="42" xml:space="preserve"> H68 * VLOOKUP(C68, $CH$4:$CI$15, 2, FALSE)</f>
        <v>194.71649237411719</v>
      </c>
      <c r="J68">
        <v>158.769502878</v>
      </c>
      <c r="K68" s="4">
        <f t="shared" ref="K68:K98" si="43" xml:space="preserve"> J68 * VLOOKUP(C68, $CH$4:$CI$15, 2, FALSE)</f>
        <v>229.04177673156104</v>
      </c>
      <c r="L68">
        <v>152.85829101799999</v>
      </c>
      <c r="M68" s="4">
        <f t="shared" ref="M68:M98" si="44" xml:space="preserve"> L68 * VLOOKUP(C68, $CH$4:$CI$15, 2, FALSE)</f>
        <v>220.51422929638744</v>
      </c>
      <c r="N68">
        <v>166.08472668600001</v>
      </c>
      <c r="O68" s="4">
        <f t="shared" ref="O68:O98" si="45" xml:space="preserve"> N68 * VLOOKUP(C68, $CH$4:$CI$15, 2, FALSE)</f>
        <v>239.5947596898865</v>
      </c>
      <c r="P68">
        <v>140.84192353700001</v>
      </c>
      <c r="Q68" s="4">
        <f t="shared" ref="Q68:Q98" si="46" xml:space="preserve"> P68 * VLOOKUP(C68, $CH$4:$CI$15, 2, FALSE)</f>
        <v>203.17935006695228</v>
      </c>
      <c r="R68">
        <v>161.97095525899999</v>
      </c>
      <c r="S68" s="4">
        <f t="shared" ref="S68:S98" si="47" xml:space="preserve"> R68 * VLOOKUP(C68, $CH$4:$CI$15, 2, FALSE)</f>
        <v>233.6602099203906</v>
      </c>
      <c r="T68">
        <v>148.67073631299999</v>
      </c>
      <c r="U68" s="4">
        <f t="shared" ref="U68:U98" si="48" xml:space="preserve"> T68 * VLOOKUP(C68, $CH$4:$CI$15, 2, FALSE)</f>
        <v>214.47323935557489</v>
      </c>
      <c r="V68">
        <v>144.93633735899999</v>
      </c>
      <c r="W68" s="4">
        <f t="shared" ref="W68:W98" si="49" xml:space="preserve"> V68 * VLOOKUP(C68, $CH$4:$CI$15, 2, FALSE)</f>
        <v>209.08597444673475</v>
      </c>
      <c r="X68">
        <v>167.362025797</v>
      </c>
      <c r="Y68" s="4">
        <f t="shared" ref="Y68:Y98" si="50" xml:space="preserve"> X68 * VLOOKUP(C68, $CH$4:$CI$15, 2, FALSE)</f>
        <v>241.43739856257909</v>
      </c>
      <c r="Z68">
        <v>160.30940432</v>
      </c>
      <c r="AA68" s="4">
        <f t="shared" ref="AA68:AA98" si="51" xml:space="preserve"> Z68 * VLOOKUP(C68, $CH$4:$CI$15, 2, FALSE)</f>
        <v>231.26324720210974</v>
      </c>
      <c r="AB68">
        <v>157.12487327900001</v>
      </c>
      <c r="AC68" s="4">
        <f t="shared" ref="AC68:AC98" si="52" xml:space="preserve"> AB68 * VLOOKUP(C68, $CH$4:$CI$15, 2, FALSE)</f>
        <v>226.66922483341898</v>
      </c>
      <c r="AD68">
        <v>157.69991020800001</v>
      </c>
      <c r="AE68" s="4">
        <f t="shared" ref="AE68:AE98" si="53" xml:space="preserve"> AD68 * VLOOKUP(C68, $CH$4:$CI$15, 2, FALSE)</f>
        <v>227.4987763374356</v>
      </c>
      <c r="AF68">
        <v>146.26360761500001</v>
      </c>
      <c r="AG68" s="4">
        <f t="shared" ref="AG68:AG98" si="54" xml:space="preserve"> AF68 * VLOOKUP(C68, $CH$4:$CI$15, 2, FALSE)</f>
        <v>211.0007019739148</v>
      </c>
      <c r="AH68">
        <v>158.62485396700001</v>
      </c>
      <c r="AI68" s="4">
        <f t="shared" ref="AI68:AI98" si="55" xml:space="preserve"> AH68 * VLOOKUP(C68, $CH$4:$CI$15, 2, FALSE)</f>
        <v>228.83310539999442</v>
      </c>
      <c r="AJ68">
        <v>136.24507653000001</v>
      </c>
      <c r="AK68" s="4">
        <f t="shared" ref="AK68:AK98" si="56">AJ68 * VLOOKUP(C68, $CH$4:$CI$15, 2, FALSE)</f>
        <v>196.54791275209544</v>
      </c>
      <c r="AL68">
        <v>138.30830540299999</v>
      </c>
      <c r="AM68" s="4">
        <f t="shared" ref="AM68:AM98" si="57" xml:space="preserve"> AL68 * VLOOKUP(C68, $CH$4:$CI$15, 2, FALSE)</f>
        <v>199.52433831437042</v>
      </c>
      <c r="AN68">
        <v>132.380136964</v>
      </c>
      <c r="AO68" s="4">
        <f t="shared" ref="AO68:AO98" si="58" xml:space="preserve"> AN68 * VLOOKUP(C68, $CH$4:$CI$15, 2, FALSE)</f>
        <v>190.9723292230787</v>
      </c>
      <c r="AP68">
        <v>144.08831864199999</v>
      </c>
      <c r="AQ68" s="4">
        <f t="shared" ref="AQ68:AQ98" si="59" xml:space="preserve"> AP68 * VLOOKUP(C68, $CH$4:$CI$15, 2, FALSE)</f>
        <v>207.86261788188773</v>
      </c>
      <c r="AR68">
        <v>132.63116466</v>
      </c>
      <c r="AS68" s="4">
        <f t="shared" ref="AS68:AS98" si="60">AR68 * VLOOKUP(C68, $CH$4:$CI$15, 2, FALSE)</f>
        <v>191.33446318746385</v>
      </c>
      <c r="AT68">
        <v>152.80513644000001</v>
      </c>
      <c r="AU68" s="4">
        <f t="shared" ref="AU68:AU98" si="61" xml:space="preserve"> AT68 * VLOOKUP(C68, $CH$4:$CI$15, 2, FALSE)</f>
        <v>220.43754820357148</v>
      </c>
      <c r="AV68">
        <v>154.25632834800001</v>
      </c>
      <c r="AW68" s="4">
        <f t="shared" ref="AW68:AW98" si="62" xml:space="preserve"> AV68 * VLOOKUP(C68, $CH$4:$CI$15, 2, FALSE)</f>
        <v>222.53104580205039</v>
      </c>
      <c r="AX68">
        <v>138.95451414499999</v>
      </c>
      <c r="AY68" s="4">
        <f t="shared" ref="AY68:AY98" si="63">AX68 * VLOOKUP(C68, $CH$4:$CI$15, 2, FALSE)</f>
        <v>200.45656267562498</v>
      </c>
      <c r="AZ68">
        <v>141.38762903599999</v>
      </c>
      <c r="BA68" s="4">
        <f t="shared" ref="BA68:BA98" si="64" xml:space="preserve"> AZ68 * VLOOKUP(C68, $CH$4:$CI$15, 2, FALSE)</f>
        <v>203.96658788528305</v>
      </c>
      <c r="BB68">
        <v>169.99486869</v>
      </c>
      <c r="BC68" s="4">
        <f t="shared" ref="BC68:BC98" si="65" xml:space="preserve"> BB68 * VLOOKUP(C68, $CH$4:$CI$15, 2, FALSE)</f>
        <v>245.23555250988443</v>
      </c>
      <c r="BD68">
        <v>159.23359763299999</v>
      </c>
      <c r="BE68" s="4">
        <f t="shared" ref="BE68:BE98" si="66" xml:space="preserve"> BD68 * VLOOKUP(C68, $CH$4:$CI$15, 2, FALSE)</f>
        <v>229.71128243215315</v>
      </c>
      <c r="BF68">
        <v>187.49458895500001</v>
      </c>
      <c r="BG68" s="4">
        <f t="shared" ref="BG68:BG98" si="67" xml:space="preserve"> BF68 * VLOOKUP(C68, $CH$4:$CI$15, 2, FALSE)</f>
        <v>270.48074726797864</v>
      </c>
      <c r="BH68">
        <v>170.185024962</v>
      </c>
      <c r="BI68" s="4">
        <f t="shared" ref="BI68:BI98" si="68" xml:space="preserve"> BH68 * VLOOKUP(C68, $CH$4:$CI$15, 2, FALSE)</f>
        <v>245.509873016065</v>
      </c>
      <c r="BJ68">
        <v>161.689377194</v>
      </c>
      <c r="BK68" s="4">
        <f t="shared" ref="BK68:BK98" si="69" xml:space="preserve"> BJ68 * VLOOKUP(C68, $CH$4:$CI$15, 2, FALSE)</f>
        <v>233.2540038220709</v>
      </c>
      <c r="BL68">
        <v>170.371034732</v>
      </c>
      <c r="BM68" s="4">
        <f t="shared" ref="BM68:BM98" si="70" xml:space="preserve"> BL68 * VLOOKUP(C68, $CH$4:$CI$15, 2, FALSE)</f>
        <v>245.7782117551676</v>
      </c>
      <c r="BN68">
        <v>169.33242369300001</v>
      </c>
      <c r="BO68" s="4">
        <f t="shared" ref="BO68:BO98" si="71" xml:space="preserve"> BN68 * VLOOKUP(C68, $CH$4:$CI$15, 2, FALSE)</f>
        <v>244.27990563596055</v>
      </c>
      <c r="BP68">
        <v>164.66566497299999</v>
      </c>
      <c r="BQ68" s="4">
        <f t="shared" ref="BQ68:BQ98" si="72" xml:space="preserve"> BP68 * VLOOKUP(C68, $CH$4:$CI$15, 2, FALSE)</f>
        <v>237.54761329120433</v>
      </c>
      <c r="BR68">
        <v>171.092207191</v>
      </c>
      <c r="BS68" s="4">
        <f t="shared" ref="BS68:BS98" si="73" xml:space="preserve"> BR68 * VLOOKUP(C68, $CH$4:$CI$15, 2, FALSE)</f>
        <v>246.8185791956713</v>
      </c>
      <c r="BT68">
        <v>148.25527923999999</v>
      </c>
      <c r="BU68" s="4">
        <f t="shared" ref="BU68:BU98" si="74" xml:space="preserve"> BT68 * VLOOKUP(C68, $CH$4:$CI$15, 2, FALSE)</f>
        <v>213.8738986482557</v>
      </c>
      <c r="BV68">
        <v>159.066335557</v>
      </c>
      <c r="BW68" s="4">
        <f t="shared" ref="BW68:BW98" si="75" xml:space="preserve"> BV68 * VLOOKUP(C68, $CH$4:$CI$15, 2, FALSE)</f>
        <v>229.46998922172921</v>
      </c>
      <c r="BX68">
        <v>156.50041402400001</v>
      </c>
      <c r="BY68" s="4">
        <f t="shared" ref="BY68:BY98" si="76" xml:space="preserve"> BX68 * VLOOKUP(C68, $CH$4:$CI$15, 2, FALSE)</f>
        <v>225.76837640428727</v>
      </c>
      <c r="BZ68">
        <v>147.95152664899999</v>
      </c>
      <c r="CA68" s="4">
        <f t="shared" ref="CA68:CA98" si="77" xml:space="preserve"> BZ68 * VLOOKUP(C68, $CH$4:$CI$15, 2, FALSE)</f>
        <v>213.43570345416407</v>
      </c>
      <c r="CB68">
        <v>165.66140878100001</v>
      </c>
      <c r="CC68" s="4">
        <f t="shared" ref="CC68:CC98" si="78" xml:space="preserve"> CB68 * VLOOKUP(C68, $CH$4:$CI$15, 2, FALSE)</f>
        <v>238.98407890216629</v>
      </c>
      <c r="CD68">
        <v>155.177925281</v>
      </c>
      <c r="CE68" s="4">
        <f t="shared" ref="CE68:CE98" si="79" xml:space="preserve"> CD68 * VLOOKUP(C68, $CH$4:$CI$15, 2, FALSE)</f>
        <v>223.86054671462094</v>
      </c>
    </row>
    <row r="69" spans="1:83" x14ac:dyDescent="0.2">
      <c r="A69" s="2">
        <v>42071</v>
      </c>
      <c r="B69">
        <v>2020</v>
      </c>
      <c r="C69">
        <v>7</v>
      </c>
      <c r="D69">
        <v>209.81067662000001</v>
      </c>
      <c r="E69" s="4">
        <f t="shared" si="40"/>
        <v>170.90917708550145</v>
      </c>
      <c r="F69">
        <v>200.043403759</v>
      </c>
      <c r="G69" s="4">
        <f t="shared" si="41"/>
        <v>162.95287765434117</v>
      </c>
      <c r="H69">
        <v>196.566143595</v>
      </c>
      <c r="I69" s="4">
        <f t="shared" si="42"/>
        <v>160.12034461686471</v>
      </c>
      <c r="J69">
        <v>222.52677119399999</v>
      </c>
      <c r="K69" s="4">
        <f t="shared" si="43"/>
        <v>181.26755014065313</v>
      </c>
      <c r="L69">
        <v>227.034569656</v>
      </c>
      <c r="M69" s="4">
        <f t="shared" si="44"/>
        <v>184.93954690468371</v>
      </c>
      <c r="N69">
        <v>212.085964367</v>
      </c>
      <c r="O69" s="4">
        <f t="shared" si="45"/>
        <v>172.76259828759211</v>
      </c>
      <c r="P69">
        <v>198.47198182299999</v>
      </c>
      <c r="Q69" s="4">
        <f t="shared" si="46"/>
        <v>161.67281681919934</v>
      </c>
      <c r="R69">
        <v>200.420033254</v>
      </c>
      <c r="S69" s="4">
        <f t="shared" si="47"/>
        <v>163.25967537356857</v>
      </c>
      <c r="T69">
        <v>180.751068624</v>
      </c>
      <c r="U69" s="4">
        <f t="shared" si="48"/>
        <v>147.23758053458414</v>
      </c>
      <c r="V69">
        <v>183.23331979700001</v>
      </c>
      <c r="W69" s="4">
        <f t="shared" si="49"/>
        <v>149.25959157868994</v>
      </c>
      <c r="X69">
        <v>210.903362292</v>
      </c>
      <c r="Y69" s="4">
        <f t="shared" si="50"/>
        <v>171.79926529275161</v>
      </c>
      <c r="Z69">
        <v>161.98345519099999</v>
      </c>
      <c r="AA69" s="4">
        <f t="shared" si="51"/>
        <v>131.94971521063675</v>
      </c>
      <c r="AB69">
        <v>151.478864571</v>
      </c>
      <c r="AC69" s="4">
        <f t="shared" si="52"/>
        <v>123.39280587024176</v>
      </c>
      <c r="AD69">
        <v>197.79063095399999</v>
      </c>
      <c r="AE69" s="4">
        <f t="shared" si="53"/>
        <v>161.11779684498617</v>
      </c>
      <c r="AF69">
        <v>155.58916650399999</v>
      </c>
      <c r="AG69" s="4">
        <f t="shared" si="54"/>
        <v>126.74100688774426</v>
      </c>
      <c r="AH69">
        <v>163.88582337099999</v>
      </c>
      <c r="AI69" s="4">
        <f t="shared" si="55"/>
        <v>133.49936075487332</v>
      </c>
      <c r="AJ69">
        <v>191.20373006299999</v>
      </c>
      <c r="AK69" s="4">
        <f t="shared" si="56"/>
        <v>155.75218900767149</v>
      </c>
      <c r="AL69">
        <v>172.67770076299999</v>
      </c>
      <c r="AM69" s="4">
        <f t="shared" si="57"/>
        <v>140.66111512462265</v>
      </c>
      <c r="AN69">
        <v>179.87163789499999</v>
      </c>
      <c r="AO69" s="4">
        <f t="shared" si="58"/>
        <v>146.52120716112938</v>
      </c>
      <c r="AP69">
        <v>194.59475363000001</v>
      </c>
      <c r="AQ69" s="4">
        <f t="shared" si="59"/>
        <v>158.51447478192304</v>
      </c>
      <c r="AR69">
        <v>176.364376502</v>
      </c>
      <c r="AS69" s="4">
        <f t="shared" si="60"/>
        <v>143.66423549430127</v>
      </c>
      <c r="AT69">
        <v>218.102565532</v>
      </c>
      <c r="AU69" s="4">
        <f t="shared" si="61"/>
        <v>177.66364703557463</v>
      </c>
      <c r="AV69">
        <v>186.90936965099999</v>
      </c>
      <c r="AW69" s="4">
        <f t="shared" si="62"/>
        <v>152.25405623412934</v>
      </c>
      <c r="AX69">
        <v>194.889184223</v>
      </c>
      <c r="AY69" s="4">
        <f t="shared" si="63"/>
        <v>158.75431429423517</v>
      </c>
      <c r="AZ69">
        <v>218.41117234999999</v>
      </c>
      <c r="BA69" s="4">
        <f t="shared" si="64"/>
        <v>177.91503432509222</v>
      </c>
      <c r="BB69">
        <v>216.09886866100001</v>
      </c>
      <c r="BC69" s="4">
        <f t="shared" si="65"/>
        <v>176.03146039537026</v>
      </c>
      <c r="BD69">
        <v>219.80952507399999</v>
      </c>
      <c r="BE69" s="4">
        <f t="shared" si="66"/>
        <v>179.05411512490758</v>
      </c>
      <c r="BF69">
        <v>236.68198968600001</v>
      </c>
      <c r="BG69" s="4">
        <f t="shared" si="67"/>
        <v>192.79821570499354</v>
      </c>
      <c r="BH69">
        <v>242.29115975900001</v>
      </c>
      <c r="BI69" s="4">
        <f t="shared" si="68"/>
        <v>197.36737613454275</v>
      </c>
      <c r="BJ69">
        <v>224.256689309</v>
      </c>
      <c r="BK69" s="4">
        <f t="shared" si="69"/>
        <v>182.67671999903664</v>
      </c>
      <c r="BL69">
        <v>244.38146466200001</v>
      </c>
      <c r="BM69" s="4">
        <f t="shared" si="70"/>
        <v>199.07011260432003</v>
      </c>
      <c r="BN69">
        <v>250.29424906200001</v>
      </c>
      <c r="BO69" s="4">
        <f t="shared" si="71"/>
        <v>203.88659350208792</v>
      </c>
      <c r="BP69">
        <v>247.167375386</v>
      </c>
      <c r="BQ69" s="4">
        <f t="shared" si="72"/>
        <v>201.33948095555445</v>
      </c>
      <c r="BR69">
        <v>244.41180744499999</v>
      </c>
      <c r="BS69" s="4">
        <f t="shared" si="73"/>
        <v>199.09482945932737</v>
      </c>
      <c r="BT69">
        <v>198.470360809</v>
      </c>
      <c r="BU69" s="4">
        <f t="shared" si="74"/>
        <v>161.67149636128343</v>
      </c>
      <c r="BV69">
        <v>200.333635993</v>
      </c>
      <c r="BW69" s="4">
        <f t="shared" si="75"/>
        <v>163.18929723544031</v>
      </c>
      <c r="BX69">
        <v>191.08941369999999</v>
      </c>
      <c r="BY69" s="4">
        <f t="shared" si="76"/>
        <v>155.65906831504284</v>
      </c>
      <c r="BZ69">
        <v>214.843272877</v>
      </c>
      <c r="CA69" s="4">
        <f t="shared" si="77"/>
        <v>175.0086676297565</v>
      </c>
      <c r="CB69">
        <v>234.55161088400001</v>
      </c>
      <c r="CC69" s="4">
        <f t="shared" si="78"/>
        <v>191.06283553370864</v>
      </c>
      <c r="CD69">
        <v>241.143959037</v>
      </c>
      <c r="CE69" s="4">
        <f t="shared" si="79"/>
        <v>196.43288064314302</v>
      </c>
    </row>
    <row r="70" spans="1:83" x14ac:dyDescent="0.2">
      <c r="A70" s="2">
        <v>42072</v>
      </c>
      <c r="B70">
        <v>2020</v>
      </c>
      <c r="C70">
        <v>8</v>
      </c>
      <c r="D70">
        <v>360.32818509800001</v>
      </c>
      <c r="E70" s="4">
        <f t="shared" si="40"/>
        <v>323.63053341573044</v>
      </c>
      <c r="F70">
        <v>378.037792696</v>
      </c>
      <c r="G70" s="4">
        <f t="shared" si="41"/>
        <v>339.53650466792436</v>
      </c>
      <c r="H70">
        <v>352.70509671899998</v>
      </c>
      <c r="I70" s="4">
        <f t="shared" si="42"/>
        <v>316.78381905809545</v>
      </c>
      <c r="J70">
        <v>352.150183664</v>
      </c>
      <c r="K70" s="4">
        <f t="shared" si="43"/>
        <v>316.28542116579581</v>
      </c>
      <c r="L70">
        <v>338.46040868</v>
      </c>
      <c r="M70" s="4">
        <f t="shared" si="44"/>
        <v>303.98988236633085</v>
      </c>
      <c r="N70">
        <v>340.63545417900002</v>
      </c>
      <c r="O70" s="4">
        <f t="shared" si="45"/>
        <v>305.94341018945528</v>
      </c>
      <c r="P70">
        <v>282.740194782</v>
      </c>
      <c r="Q70" s="4">
        <f t="shared" si="46"/>
        <v>253.9444979317386</v>
      </c>
      <c r="R70">
        <v>331.888428207</v>
      </c>
      <c r="S70" s="4">
        <f t="shared" si="47"/>
        <v>298.08722574929078</v>
      </c>
      <c r="T70">
        <v>300.31370711800002</v>
      </c>
      <c r="U70" s="4">
        <f t="shared" si="48"/>
        <v>269.72823455434224</v>
      </c>
      <c r="V70">
        <v>302.45551394699999</v>
      </c>
      <c r="W70" s="4">
        <f t="shared" si="49"/>
        <v>271.65190890236522</v>
      </c>
      <c r="X70">
        <v>347.83742379799997</v>
      </c>
      <c r="Y70" s="4">
        <f t="shared" si="50"/>
        <v>312.4118946595417</v>
      </c>
      <c r="Z70">
        <v>302.67592622000001</v>
      </c>
      <c r="AA70" s="4">
        <f t="shared" si="51"/>
        <v>271.84987327049527</v>
      </c>
      <c r="AB70">
        <v>293.50799296999998</v>
      </c>
      <c r="AC70" s="4">
        <f t="shared" si="52"/>
        <v>263.61564888638179</v>
      </c>
      <c r="AD70">
        <v>368.17884684500001</v>
      </c>
      <c r="AE70" s="4">
        <f t="shared" si="53"/>
        <v>330.68164391422522</v>
      </c>
      <c r="AF70">
        <v>313.89476920700002</v>
      </c>
      <c r="AG70" s="4">
        <f t="shared" si="54"/>
        <v>281.92613233194692</v>
      </c>
      <c r="AH70">
        <v>305.903607846</v>
      </c>
      <c r="AI70" s="4">
        <f t="shared" si="55"/>
        <v>274.74883141342946</v>
      </c>
      <c r="AJ70">
        <v>375.38071344799999</v>
      </c>
      <c r="AK70" s="4">
        <f t="shared" si="56"/>
        <v>337.15003585998409</v>
      </c>
      <c r="AL70">
        <v>335.27839852</v>
      </c>
      <c r="AM70" s="4">
        <f t="shared" si="57"/>
        <v>301.13194427543465</v>
      </c>
      <c r="AN70">
        <v>327.17938899900003</v>
      </c>
      <c r="AO70" s="4">
        <f t="shared" si="58"/>
        <v>293.8577790010545</v>
      </c>
      <c r="AP70">
        <v>364.95878936499997</v>
      </c>
      <c r="AQ70" s="4">
        <f t="shared" si="59"/>
        <v>327.78953343555617</v>
      </c>
      <c r="AR70">
        <v>336.29450082699998</v>
      </c>
      <c r="AS70" s="4">
        <f t="shared" si="60"/>
        <v>302.04456156494791</v>
      </c>
      <c r="AT70">
        <v>345.93760680000003</v>
      </c>
      <c r="AU70" s="4">
        <f t="shared" si="61"/>
        <v>310.70556466959721</v>
      </c>
      <c r="AV70">
        <v>320.96340084399998</v>
      </c>
      <c r="AW70" s="4">
        <f t="shared" si="62"/>
        <v>288.27485863704965</v>
      </c>
      <c r="AX70">
        <v>333.104989047</v>
      </c>
      <c r="AY70" s="4">
        <f t="shared" si="63"/>
        <v>299.17988585711669</v>
      </c>
      <c r="AZ70">
        <v>364.01307344600002</v>
      </c>
      <c r="BA70" s="4">
        <f t="shared" si="64"/>
        <v>326.94013402695185</v>
      </c>
      <c r="BB70">
        <v>305.55628346100002</v>
      </c>
      <c r="BC70" s="4">
        <f t="shared" si="65"/>
        <v>274.43688030709211</v>
      </c>
      <c r="BD70">
        <v>317.96435451500003</v>
      </c>
      <c r="BE70" s="4">
        <f t="shared" si="66"/>
        <v>285.5812504117348</v>
      </c>
      <c r="BF70">
        <v>339.96963835299999</v>
      </c>
      <c r="BG70" s="4">
        <f t="shared" si="67"/>
        <v>305.34540442738472</v>
      </c>
      <c r="BH70">
        <v>347.66602660900003</v>
      </c>
      <c r="BI70" s="4">
        <f t="shared" si="68"/>
        <v>312.25795343041767</v>
      </c>
      <c r="BJ70">
        <v>341.36448242199998</v>
      </c>
      <c r="BK70" s="4">
        <f t="shared" si="69"/>
        <v>306.59819049506206</v>
      </c>
      <c r="BL70">
        <v>356.98010827299998</v>
      </c>
      <c r="BM70" s="4">
        <f t="shared" si="70"/>
        <v>320.62344173208402</v>
      </c>
      <c r="BN70">
        <v>336.20543693000002</v>
      </c>
      <c r="BO70" s="4">
        <f t="shared" si="71"/>
        <v>301.96456838737743</v>
      </c>
      <c r="BP70">
        <v>329.28195716499999</v>
      </c>
      <c r="BQ70" s="4">
        <f t="shared" si="72"/>
        <v>295.74621095072405</v>
      </c>
      <c r="BR70">
        <v>362.90015792600002</v>
      </c>
      <c r="BS70" s="4">
        <f t="shared" si="73"/>
        <v>325.94056347355126</v>
      </c>
      <c r="BT70">
        <v>293.94520045799999</v>
      </c>
      <c r="BU70" s="4">
        <f t="shared" si="74"/>
        <v>264.00832894419159</v>
      </c>
      <c r="BV70">
        <v>311.81849908700002</v>
      </c>
      <c r="BW70" s="4">
        <f t="shared" si="75"/>
        <v>280.06132010176293</v>
      </c>
      <c r="BX70">
        <v>320.18886756900002</v>
      </c>
      <c r="BY70" s="4">
        <f t="shared" si="76"/>
        <v>287.57920776292144</v>
      </c>
      <c r="BZ70">
        <v>337.33762026599999</v>
      </c>
      <c r="CA70" s="4">
        <f t="shared" si="77"/>
        <v>302.98144442457789</v>
      </c>
      <c r="CB70">
        <v>368.02225709999999</v>
      </c>
      <c r="CC70" s="4">
        <f t="shared" si="78"/>
        <v>330.54100206382986</v>
      </c>
      <c r="CD70">
        <v>347.19205952099998</v>
      </c>
      <c r="CE70" s="4">
        <f t="shared" si="79"/>
        <v>311.83225755689273</v>
      </c>
    </row>
    <row r="71" spans="1:83" x14ac:dyDescent="0.2">
      <c r="A71" s="2">
        <v>42073</v>
      </c>
      <c r="B71">
        <v>2020</v>
      </c>
      <c r="C71">
        <v>9</v>
      </c>
      <c r="D71">
        <v>282.92752745000001</v>
      </c>
      <c r="E71" s="4">
        <f t="shared" si="40"/>
        <v>266.05759253789734</v>
      </c>
      <c r="F71">
        <v>283.468476055</v>
      </c>
      <c r="G71" s="4">
        <f t="shared" si="41"/>
        <v>266.566286353696</v>
      </c>
      <c r="H71">
        <v>299.36979484800003</v>
      </c>
      <c r="I71" s="4">
        <f t="shared" si="42"/>
        <v>281.51946759545723</v>
      </c>
      <c r="J71">
        <v>281.30330801999997</v>
      </c>
      <c r="K71" s="4">
        <f t="shared" si="43"/>
        <v>264.53021937914576</v>
      </c>
      <c r="L71">
        <v>264.79078960300001</v>
      </c>
      <c r="M71" s="4">
        <f t="shared" si="44"/>
        <v>249.00228211421805</v>
      </c>
      <c r="N71">
        <v>280.32283117499998</v>
      </c>
      <c r="O71" s="4">
        <f t="shared" si="45"/>
        <v>263.6082047866775</v>
      </c>
      <c r="P71">
        <v>227.38089275300001</v>
      </c>
      <c r="Q71" s="4">
        <f t="shared" si="46"/>
        <v>213.82300075298315</v>
      </c>
      <c r="R71">
        <v>285.09001159899998</v>
      </c>
      <c r="S71" s="4">
        <f t="shared" si="47"/>
        <v>268.09113565676535</v>
      </c>
      <c r="T71">
        <v>265.79440067500002</v>
      </c>
      <c r="U71" s="4">
        <f t="shared" si="48"/>
        <v>249.94605152424089</v>
      </c>
      <c r="V71">
        <v>244.78789663399999</v>
      </c>
      <c r="W71" s="4">
        <f t="shared" si="49"/>
        <v>230.19208858129684</v>
      </c>
      <c r="X71">
        <v>281.42555522399999</v>
      </c>
      <c r="Y71" s="4">
        <f t="shared" si="50"/>
        <v>264.64517742894697</v>
      </c>
      <c r="Z71">
        <v>256.01055478299998</v>
      </c>
      <c r="AA71" s="4">
        <f t="shared" si="51"/>
        <v>240.74558062185633</v>
      </c>
      <c r="AB71">
        <v>240.29644441799999</v>
      </c>
      <c r="AC71" s="4">
        <f t="shared" si="52"/>
        <v>225.96844525341621</v>
      </c>
      <c r="AD71">
        <v>291.65846681599999</v>
      </c>
      <c r="AE71" s="4">
        <f t="shared" si="53"/>
        <v>274.26793788410203</v>
      </c>
      <c r="AF71">
        <v>266.06668423399998</v>
      </c>
      <c r="AG71" s="4">
        <f t="shared" si="54"/>
        <v>250.20209980928442</v>
      </c>
      <c r="AH71">
        <v>255.184426304</v>
      </c>
      <c r="AI71" s="4">
        <f t="shared" si="55"/>
        <v>239.9687111661666</v>
      </c>
      <c r="AJ71">
        <v>279.916679391</v>
      </c>
      <c r="AK71" s="4">
        <f t="shared" si="56"/>
        <v>263.22627034986277</v>
      </c>
      <c r="AL71">
        <v>265.05320550300002</v>
      </c>
      <c r="AM71" s="4">
        <f t="shared" si="57"/>
        <v>249.24905111272071</v>
      </c>
      <c r="AN71">
        <v>261.95037601600001</v>
      </c>
      <c r="AO71" s="4">
        <f t="shared" si="58"/>
        <v>246.33123201322459</v>
      </c>
      <c r="AP71">
        <v>281.08892966500002</v>
      </c>
      <c r="AQ71" s="4">
        <f t="shared" si="59"/>
        <v>264.32862362231856</v>
      </c>
      <c r="AR71">
        <v>252.420209892</v>
      </c>
      <c r="AS71" s="4">
        <f t="shared" si="60"/>
        <v>237.36931488098034</v>
      </c>
      <c r="AT71">
        <v>283.68479585599999</v>
      </c>
      <c r="AU71" s="4">
        <f t="shared" si="61"/>
        <v>266.76970779519047</v>
      </c>
      <c r="AV71">
        <v>267.47263526699999</v>
      </c>
      <c r="AW71" s="4">
        <f t="shared" si="62"/>
        <v>251.52421911820269</v>
      </c>
      <c r="AX71">
        <v>258.75817681799998</v>
      </c>
      <c r="AY71" s="4">
        <f t="shared" si="63"/>
        <v>243.32937199212296</v>
      </c>
      <c r="AZ71">
        <v>281.177803509</v>
      </c>
      <c r="BA71" s="4">
        <f t="shared" si="64"/>
        <v>264.41219824366186</v>
      </c>
      <c r="BB71">
        <v>237.717045313</v>
      </c>
      <c r="BC71" s="4">
        <f t="shared" si="65"/>
        <v>223.54284629436125</v>
      </c>
      <c r="BD71">
        <v>257.89194489099998</v>
      </c>
      <c r="BE71" s="4">
        <f t="shared" si="66"/>
        <v>242.51479031053734</v>
      </c>
      <c r="BF71">
        <v>251.08441928799999</v>
      </c>
      <c r="BG71" s="4">
        <f t="shared" si="67"/>
        <v>236.11317259098067</v>
      </c>
      <c r="BH71">
        <v>263.73743200000001</v>
      </c>
      <c r="BI71" s="4">
        <f t="shared" si="68"/>
        <v>248.011732377112</v>
      </c>
      <c r="BJ71">
        <v>268.776555546</v>
      </c>
      <c r="BK71" s="4">
        <f t="shared" si="69"/>
        <v>252.75039139425806</v>
      </c>
      <c r="BL71">
        <v>274.611839304</v>
      </c>
      <c r="BM71" s="4">
        <f t="shared" si="70"/>
        <v>258.23773849837943</v>
      </c>
      <c r="BN71">
        <v>272.74056864200003</v>
      </c>
      <c r="BO71" s="4">
        <f t="shared" si="71"/>
        <v>256.4780448701004</v>
      </c>
      <c r="BP71">
        <v>273.96778346600001</v>
      </c>
      <c r="BQ71" s="4">
        <f t="shared" si="72"/>
        <v>257.63208535722816</v>
      </c>
      <c r="BR71">
        <v>293.46246337500003</v>
      </c>
      <c r="BS71" s="4">
        <f t="shared" si="73"/>
        <v>275.96436871838705</v>
      </c>
      <c r="BT71">
        <v>230.20531415400001</v>
      </c>
      <c r="BU71" s="4">
        <f t="shared" si="74"/>
        <v>216.47901222360744</v>
      </c>
      <c r="BV71">
        <v>257.55810070400003</v>
      </c>
      <c r="BW71" s="4">
        <f t="shared" si="75"/>
        <v>242.20085203285709</v>
      </c>
      <c r="BX71">
        <v>259.29393769199999</v>
      </c>
      <c r="BY71" s="4">
        <f t="shared" si="76"/>
        <v>243.83318740237013</v>
      </c>
      <c r="BZ71">
        <v>278.95351935399998</v>
      </c>
      <c r="CA71" s="4">
        <f t="shared" si="77"/>
        <v>262.32054002739272</v>
      </c>
      <c r="CB71">
        <v>305.95344303399997</v>
      </c>
      <c r="CC71" s="4">
        <f t="shared" si="78"/>
        <v>287.71055689055311</v>
      </c>
      <c r="CD71">
        <v>300.36314391500002</v>
      </c>
      <c r="CE71" s="4">
        <f t="shared" si="79"/>
        <v>282.45358688635048</v>
      </c>
    </row>
    <row r="72" spans="1:83" x14ac:dyDescent="0.2">
      <c r="A72" s="2">
        <v>42074</v>
      </c>
      <c r="B72">
        <v>2020</v>
      </c>
      <c r="C72">
        <v>10</v>
      </c>
      <c r="D72">
        <v>438.66840767299999</v>
      </c>
      <c r="E72" s="4">
        <f t="shared" si="40"/>
        <v>297.58666720433411</v>
      </c>
      <c r="F72">
        <v>383.72963644999999</v>
      </c>
      <c r="G72" s="4">
        <f t="shared" si="41"/>
        <v>260.31695381129407</v>
      </c>
      <c r="H72">
        <v>423.42977597499998</v>
      </c>
      <c r="I72" s="4">
        <f t="shared" si="42"/>
        <v>287.24898721543786</v>
      </c>
      <c r="J72">
        <v>426.97135828</v>
      </c>
      <c r="K72" s="4">
        <f t="shared" si="43"/>
        <v>289.65154836718699</v>
      </c>
      <c r="L72">
        <v>449.74362755099997</v>
      </c>
      <c r="M72" s="4">
        <f t="shared" si="44"/>
        <v>305.09994537618286</v>
      </c>
      <c r="N72">
        <v>429.57649254900002</v>
      </c>
      <c r="O72" s="4">
        <f t="shared" si="45"/>
        <v>291.41883593832529</v>
      </c>
      <c r="P72">
        <v>378.81258988899998</v>
      </c>
      <c r="Q72" s="4">
        <f t="shared" si="46"/>
        <v>256.98129646058902</v>
      </c>
      <c r="R72">
        <v>398.50711537400002</v>
      </c>
      <c r="S72" s="4">
        <f t="shared" si="47"/>
        <v>270.34179404540913</v>
      </c>
      <c r="T72">
        <v>388.75875232999999</v>
      </c>
      <c r="U72" s="4">
        <f t="shared" si="48"/>
        <v>263.72863746011797</v>
      </c>
      <c r="V72">
        <v>369.503227697</v>
      </c>
      <c r="W72" s="4">
        <f t="shared" si="49"/>
        <v>250.66595206820136</v>
      </c>
      <c r="X72">
        <v>391.87478564499997</v>
      </c>
      <c r="Y72" s="4">
        <f t="shared" si="50"/>
        <v>265.84251197874926</v>
      </c>
      <c r="Z72">
        <v>358.459880607</v>
      </c>
      <c r="AA72" s="4">
        <f t="shared" si="51"/>
        <v>243.17429596119592</v>
      </c>
      <c r="AB72">
        <v>330.16913580900001</v>
      </c>
      <c r="AC72" s="4">
        <f t="shared" si="52"/>
        <v>223.98224039050854</v>
      </c>
      <c r="AD72">
        <v>407.35324238300001</v>
      </c>
      <c r="AE72" s="4">
        <f t="shared" si="53"/>
        <v>276.34288600514037</v>
      </c>
      <c r="AF72">
        <v>336.52022456399999</v>
      </c>
      <c r="AG72" s="4">
        <f t="shared" si="54"/>
        <v>228.29073241468967</v>
      </c>
      <c r="AH72">
        <v>324.41020298199999</v>
      </c>
      <c r="AI72" s="4">
        <f t="shared" si="55"/>
        <v>220.07545887475806</v>
      </c>
      <c r="AJ72">
        <v>355.64157200199998</v>
      </c>
      <c r="AK72" s="4">
        <f t="shared" si="56"/>
        <v>241.26239382681553</v>
      </c>
      <c r="AL72">
        <v>350.388032909</v>
      </c>
      <c r="AM72" s="4">
        <f t="shared" si="57"/>
        <v>237.6984645299537</v>
      </c>
      <c r="AN72">
        <v>319.49907040300002</v>
      </c>
      <c r="AO72" s="4">
        <f t="shared" si="58"/>
        <v>216.74381348881388</v>
      </c>
      <c r="AP72">
        <v>358.14452243300002</v>
      </c>
      <c r="AQ72" s="4">
        <f t="shared" si="59"/>
        <v>242.96036127537224</v>
      </c>
      <c r="AR72">
        <v>352.84086132200002</v>
      </c>
      <c r="AS72" s="4">
        <f t="shared" si="60"/>
        <v>239.36242988483488</v>
      </c>
      <c r="AT72">
        <v>351.03662704099997</v>
      </c>
      <c r="AU72" s="4">
        <f t="shared" si="61"/>
        <v>238.1384619465309</v>
      </c>
      <c r="AV72">
        <v>337.76405834899998</v>
      </c>
      <c r="AW72" s="4">
        <f t="shared" si="62"/>
        <v>229.13453229669582</v>
      </c>
      <c r="AX72">
        <v>327.34474872300001</v>
      </c>
      <c r="AY72" s="4">
        <f t="shared" si="63"/>
        <v>222.06621469748839</v>
      </c>
      <c r="AZ72">
        <v>330.533639892</v>
      </c>
      <c r="BA72" s="4">
        <f t="shared" si="64"/>
        <v>224.22951499096982</v>
      </c>
      <c r="BB72">
        <v>342.57641937099999</v>
      </c>
      <c r="BC72" s="4">
        <f t="shared" si="65"/>
        <v>232.39917240496769</v>
      </c>
      <c r="BD72">
        <v>367.15345882499997</v>
      </c>
      <c r="BE72" s="4">
        <f t="shared" si="66"/>
        <v>249.07190090087812</v>
      </c>
      <c r="BF72">
        <v>354.844976191</v>
      </c>
      <c r="BG72" s="4">
        <f t="shared" si="67"/>
        <v>240.72199408897728</v>
      </c>
      <c r="BH72">
        <v>365.25484274600001</v>
      </c>
      <c r="BI72" s="4">
        <f t="shared" si="68"/>
        <v>247.78390563755991</v>
      </c>
      <c r="BJ72">
        <v>371.16455961200001</v>
      </c>
      <c r="BK72" s="4">
        <f t="shared" si="69"/>
        <v>251.79297698966226</v>
      </c>
      <c r="BL72">
        <v>365.10505294699999</v>
      </c>
      <c r="BM72" s="4">
        <f t="shared" si="70"/>
        <v>247.68229028006908</v>
      </c>
      <c r="BN72">
        <v>354.66125608099998</v>
      </c>
      <c r="BO72" s="4">
        <f t="shared" si="71"/>
        <v>240.59736087109104</v>
      </c>
      <c r="BP72">
        <v>366.43490146900001</v>
      </c>
      <c r="BQ72" s="4">
        <f t="shared" si="72"/>
        <v>248.58444138697899</v>
      </c>
      <c r="BR72">
        <v>361.37937641600001</v>
      </c>
      <c r="BS72" s="4">
        <f t="shared" si="73"/>
        <v>245.15484211523986</v>
      </c>
      <c r="BT72">
        <v>366.50092887400001</v>
      </c>
      <c r="BU72" s="4">
        <f t="shared" si="74"/>
        <v>248.62923347835007</v>
      </c>
      <c r="BV72">
        <v>374.311229002</v>
      </c>
      <c r="BW72" s="4">
        <f t="shared" si="75"/>
        <v>253.92763460389838</v>
      </c>
      <c r="BX72">
        <v>342.15228986199998</v>
      </c>
      <c r="BY72" s="4">
        <f t="shared" si="76"/>
        <v>232.11144872840785</v>
      </c>
      <c r="BZ72">
        <v>353.31896806200001</v>
      </c>
      <c r="CA72" s="4">
        <f t="shared" si="77"/>
        <v>239.68677097900957</v>
      </c>
      <c r="CB72">
        <v>354.667499529</v>
      </c>
      <c r="CC72" s="4">
        <f t="shared" si="78"/>
        <v>240.60159634109456</v>
      </c>
      <c r="CD72">
        <v>362.370349858</v>
      </c>
      <c r="CE72" s="4">
        <f t="shared" si="79"/>
        <v>245.82710498791204</v>
      </c>
    </row>
    <row r="73" spans="1:83" x14ac:dyDescent="0.2">
      <c r="A73" s="2">
        <v>42075</v>
      </c>
      <c r="B73">
        <v>2020</v>
      </c>
      <c r="C73">
        <v>11</v>
      </c>
      <c r="D73">
        <v>384.55412342300002</v>
      </c>
      <c r="E73" s="4">
        <f t="shared" si="40"/>
        <v>548.70952203088268</v>
      </c>
      <c r="F73">
        <v>350.75151731099999</v>
      </c>
      <c r="G73" s="4">
        <f t="shared" si="41"/>
        <v>500.47752889031875</v>
      </c>
      <c r="H73">
        <v>420.08354948900001</v>
      </c>
      <c r="I73" s="4">
        <f t="shared" si="42"/>
        <v>599.40546626150024</v>
      </c>
      <c r="J73">
        <v>359.48101138200002</v>
      </c>
      <c r="K73" s="4">
        <f t="shared" si="43"/>
        <v>512.93339980033113</v>
      </c>
      <c r="L73">
        <v>542.51590536999993</v>
      </c>
      <c r="M73" s="4">
        <f t="shared" si="44"/>
        <v>774.10077021142638</v>
      </c>
      <c r="N73">
        <v>331.668372159</v>
      </c>
      <c r="O73" s="4">
        <f t="shared" si="45"/>
        <v>473.24832286336391</v>
      </c>
      <c r="P73">
        <v>262.18303202599998</v>
      </c>
      <c r="Q73" s="4">
        <f t="shared" si="46"/>
        <v>374.10163465949648</v>
      </c>
      <c r="R73">
        <v>320.23956775800002</v>
      </c>
      <c r="S73" s="4">
        <f t="shared" si="47"/>
        <v>456.94088154811607</v>
      </c>
      <c r="T73">
        <v>310.00143434900002</v>
      </c>
      <c r="U73" s="4">
        <f t="shared" si="48"/>
        <v>442.33237536611006</v>
      </c>
      <c r="V73">
        <v>267.57437039600001</v>
      </c>
      <c r="W73" s="4">
        <f t="shared" si="49"/>
        <v>381.79438457406553</v>
      </c>
      <c r="X73">
        <v>294.485686294</v>
      </c>
      <c r="Y73" s="4">
        <f t="shared" si="50"/>
        <v>420.19338847025028</v>
      </c>
      <c r="Z73">
        <v>299.21783639300003</v>
      </c>
      <c r="AA73" s="4">
        <f t="shared" si="51"/>
        <v>426.94556107962967</v>
      </c>
      <c r="AB73">
        <v>285.084801911</v>
      </c>
      <c r="AC73" s="4">
        <f t="shared" si="52"/>
        <v>406.77952950405876</v>
      </c>
      <c r="AD73">
        <v>308.47148656299998</v>
      </c>
      <c r="AE73" s="4">
        <f t="shared" si="53"/>
        <v>440.14933566570136</v>
      </c>
      <c r="AF73">
        <v>266.22830151900001</v>
      </c>
      <c r="AG73" s="4">
        <f t="shared" si="54"/>
        <v>379.87371654547997</v>
      </c>
      <c r="AH73">
        <v>203.370702263</v>
      </c>
      <c r="AI73" s="4">
        <f t="shared" si="55"/>
        <v>290.18396640898288</v>
      </c>
      <c r="AJ73">
        <v>320.41106129500002</v>
      </c>
      <c r="AK73" s="4">
        <f t="shared" si="56"/>
        <v>457.18558087907388</v>
      </c>
      <c r="AL73">
        <v>287.95544337799998</v>
      </c>
      <c r="AM73" s="4">
        <f t="shared" si="57"/>
        <v>410.87556751623464</v>
      </c>
      <c r="AN73">
        <v>204.862721448</v>
      </c>
      <c r="AO73" s="4">
        <f t="shared" si="58"/>
        <v>292.31288684955689</v>
      </c>
      <c r="AP73">
        <v>298.35523701</v>
      </c>
      <c r="AQ73" s="4">
        <f t="shared" si="59"/>
        <v>425.71474214850764</v>
      </c>
      <c r="AR73">
        <v>279.72413970299999</v>
      </c>
      <c r="AS73" s="4">
        <f t="shared" si="60"/>
        <v>399.13055054697918</v>
      </c>
      <c r="AT73">
        <v>194.60911081899999</v>
      </c>
      <c r="AU73" s="4">
        <f t="shared" si="61"/>
        <v>277.68229665525899</v>
      </c>
      <c r="AV73">
        <v>189.192278859</v>
      </c>
      <c r="AW73" s="4">
        <f t="shared" si="62"/>
        <v>269.95317065022124</v>
      </c>
      <c r="AX73">
        <v>246.10298871000001</v>
      </c>
      <c r="AY73" s="4">
        <f t="shared" si="63"/>
        <v>351.15747064008519</v>
      </c>
      <c r="AZ73">
        <v>236.096843705</v>
      </c>
      <c r="BA73" s="4">
        <f t="shared" si="64"/>
        <v>336.87998222260728</v>
      </c>
      <c r="BB73">
        <v>211.19425677699999</v>
      </c>
      <c r="BC73" s="4">
        <f t="shared" si="65"/>
        <v>301.34717750589641</v>
      </c>
      <c r="BD73">
        <v>231.32647228100001</v>
      </c>
      <c r="BE73" s="4">
        <f t="shared" si="66"/>
        <v>330.07327267370567</v>
      </c>
      <c r="BF73">
        <v>188.89161301799999</v>
      </c>
      <c r="BG73" s="4">
        <f t="shared" si="67"/>
        <v>269.5241589718712</v>
      </c>
      <c r="BH73">
        <v>198.36428904900001</v>
      </c>
      <c r="BI73" s="4">
        <f t="shared" si="68"/>
        <v>283.04045543245036</v>
      </c>
      <c r="BJ73">
        <v>256.07321739899999</v>
      </c>
      <c r="BK73" s="4">
        <f t="shared" si="69"/>
        <v>365.38371107090768</v>
      </c>
      <c r="BL73">
        <v>221.41091751100001</v>
      </c>
      <c r="BM73" s="4">
        <f t="shared" si="70"/>
        <v>315.92504492857489</v>
      </c>
      <c r="BN73">
        <v>221.10657859899999</v>
      </c>
      <c r="BO73" s="4">
        <f t="shared" si="71"/>
        <v>315.49079224795742</v>
      </c>
      <c r="BP73">
        <v>197.43281793</v>
      </c>
      <c r="BQ73" s="4">
        <f t="shared" si="72"/>
        <v>281.71136534769823</v>
      </c>
      <c r="BR73">
        <v>196.69167113399999</v>
      </c>
      <c r="BS73" s="4">
        <f t="shared" si="73"/>
        <v>280.65384371571571</v>
      </c>
      <c r="BT73">
        <v>250.29787826200001</v>
      </c>
      <c r="BU73" s="4">
        <f t="shared" si="74"/>
        <v>357.14304120310936</v>
      </c>
      <c r="BV73">
        <v>268.13696094400001</v>
      </c>
      <c r="BW73" s="4">
        <f t="shared" si="75"/>
        <v>382.59712929032128</v>
      </c>
      <c r="BX73">
        <v>270.81536984000002</v>
      </c>
      <c r="BY73" s="4">
        <f t="shared" si="76"/>
        <v>386.41887602403352</v>
      </c>
      <c r="BZ73">
        <v>239.67651748200001</v>
      </c>
      <c r="CA73" s="4">
        <f t="shared" si="77"/>
        <v>341.98771860499312</v>
      </c>
      <c r="CB73">
        <v>239.29231047799999</v>
      </c>
      <c r="CC73" s="4">
        <f t="shared" si="78"/>
        <v>341.43950437795735</v>
      </c>
      <c r="CD73">
        <v>250.83086038900001</v>
      </c>
      <c r="CE73" s="4">
        <f t="shared" si="79"/>
        <v>357.90353849164183</v>
      </c>
    </row>
    <row r="74" spans="1:83" x14ac:dyDescent="0.2">
      <c r="A74" s="2">
        <v>42076</v>
      </c>
      <c r="B74">
        <v>2020</v>
      </c>
      <c r="C74">
        <v>12</v>
      </c>
      <c r="D74">
        <v>211.54428553700001</v>
      </c>
      <c r="E74" s="4">
        <f t="shared" si="40"/>
        <v>25.133670608264708</v>
      </c>
      <c r="F74">
        <v>225.64129328800001</v>
      </c>
      <c r="G74" s="4">
        <f t="shared" si="41"/>
        <v>26.808542366092546</v>
      </c>
      <c r="H74">
        <v>276.50206040799998</v>
      </c>
      <c r="I74" s="4">
        <f t="shared" si="42"/>
        <v>32.851332718158829</v>
      </c>
      <c r="J74">
        <v>213.313718771</v>
      </c>
      <c r="K74" s="4">
        <f t="shared" si="43"/>
        <v>25.343897757411188</v>
      </c>
      <c r="L74">
        <v>308.799124952</v>
      </c>
      <c r="M74" s="4">
        <f t="shared" si="44"/>
        <v>36.688561314536038</v>
      </c>
      <c r="N74">
        <v>185.64929770699999</v>
      </c>
      <c r="O74" s="4">
        <f t="shared" si="45"/>
        <v>22.057075592369515</v>
      </c>
      <c r="P74">
        <v>90.380573279999993</v>
      </c>
      <c r="Q74" s="4">
        <f t="shared" si="46"/>
        <v>10.738156090764923</v>
      </c>
      <c r="R74">
        <v>161.89185071099999</v>
      </c>
      <c r="S74" s="4">
        <f t="shared" si="47"/>
        <v>19.234442753221828</v>
      </c>
      <c r="T74">
        <v>143.18130397199999</v>
      </c>
      <c r="U74" s="4">
        <f t="shared" si="48"/>
        <v>17.011434377246026</v>
      </c>
      <c r="V74">
        <v>106.165501123</v>
      </c>
      <c r="W74" s="4">
        <f t="shared" si="49"/>
        <v>12.613570385100934</v>
      </c>
      <c r="X74">
        <v>207.84153557499999</v>
      </c>
      <c r="Y74" s="4">
        <f t="shared" si="50"/>
        <v>24.693745239193959</v>
      </c>
      <c r="Z74">
        <v>175.351925147</v>
      </c>
      <c r="AA74" s="4">
        <f t="shared" si="51"/>
        <v>20.833640180740986</v>
      </c>
      <c r="AB74">
        <v>110.973521719</v>
      </c>
      <c r="AC74" s="4">
        <f t="shared" si="52"/>
        <v>13.184813449553651</v>
      </c>
      <c r="AD74">
        <v>239.61332654700001</v>
      </c>
      <c r="AE74" s="4">
        <f t="shared" si="53"/>
        <v>28.468565848967501</v>
      </c>
      <c r="AF74">
        <v>171.23071384599999</v>
      </c>
      <c r="AG74" s="4">
        <f t="shared" si="54"/>
        <v>20.343997233953488</v>
      </c>
      <c r="AH74">
        <v>117.883276224</v>
      </c>
      <c r="AI74" s="4">
        <f t="shared" si="55"/>
        <v>14.005764454076379</v>
      </c>
      <c r="AJ74">
        <v>182.99948071099999</v>
      </c>
      <c r="AK74" s="4">
        <f t="shared" si="56"/>
        <v>21.742249657078549</v>
      </c>
      <c r="AL74">
        <v>154.09883165900001</v>
      </c>
      <c r="AM74" s="4">
        <f t="shared" si="57"/>
        <v>18.308550695208087</v>
      </c>
      <c r="AN74">
        <v>127.62451267100001</v>
      </c>
      <c r="AO74" s="4">
        <f t="shared" si="58"/>
        <v>15.163125086884865</v>
      </c>
      <c r="AP74">
        <v>217.00016496800001</v>
      </c>
      <c r="AQ74" s="4">
        <f t="shared" si="59"/>
        <v>25.781886068914325</v>
      </c>
      <c r="AR74">
        <v>131.181923391</v>
      </c>
      <c r="AS74" s="4">
        <f t="shared" si="60"/>
        <v>15.585782636001932</v>
      </c>
      <c r="AT74">
        <v>28.554547072999998</v>
      </c>
      <c r="AU74" s="4">
        <f t="shared" si="61"/>
        <v>3.3925784318832175</v>
      </c>
      <c r="AV74">
        <v>61.258701449999997</v>
      </c>
      <c r="AW74" s="4">
        <f t="shared" si="62"/>
        <v>7.2781735522940192</v>
      </c>
      <c r="AX74">
        <v>64.546251178000006</v>
      </c>
      <c r="AY74" s="4">
        <f t="shared" si="63"/>
        <v>7.668768796982822</v>
      </c>
      <c r="AZ74">
        <v>60.716867450000002</v>
      </c>
      <c r="BA74" s="4">
        <f t="shared" si="64"/>
        <v>7.2137980138776125</v>
      </c>
      <c r="BB74">
        <v>79.755864142999997</v>
      </c>
      <c r="BC74" s="4">
        <f t="shared" si="65"/>
        <v>9.4758296749030659</v>
      </c>
      <c r="BD74">
        <v>90.877852683</v>
      </c>
      <c r="BE74" s="4">
        <f t="shared" si="66"/>
        <v>10.797238077704677</v>
      </c>
      <c r="BF74">
        <v>86.778833751000008</v>
      </c>
      <c r="BG74" s="4">
        <f t="shared" si="67"/>
        <v>10.310231816143858</v>
      </c>
      <c r="BH74">
        <v>70.960238923999995</v>
      </c>
      <c r="BI74" s="4">
        <f t="shared" si="68"/>
        <v>8.4308175324718935</v>
      </c>
      <c r="BJ74">
        <v>50.373844740999999</v>
      </c>
      <c r="BK74" s="4">
        <f t="shared" si="69"/>
        <v>5.9849388877522705</v>
      </c>
      <c r="BL74">
        <v>45.906920552999999</v>
      </c>
      <c r="BM74" s="4">
        <f t="shared" si="70"/>
        <v>5.4542216391710232</v>
      </c>
      <c r="BN74">
        <v>67.328074212999994</v>
      </c>
      <c r="BO74" s="4">
        <f t="shared" si="71"/>
        <v>7.999278428451662</v>
      </c>
      <c r="BP74">
        <v>62.059114458000003</v>
      </c>
      <c r="BQ74" s="4">
        <f t="shared" si="72"/>
        <v>7.3732709776041627</v>
      </c>
      <c r="BR74">
        <v>10.144672453</v>
      </c>
      <c r="BS74" s="4">
        <f t="shared" si="73"/>
        <v>1.2052930440318743</v>
      </c>
      <c r="BT74">
        <v>95.171738638999997</v>
      </c>
      <c r="BU74" s="4">
        <f t="shared" si="74"/>
        <v>11.307396577016547</v>
      </c>
      <c r="BV74">
        <v>55.965512758999999</v>
      </c>
      <c r="BW74" s="4">
        <f t="shared" si="75"/>
        <v>6.6492874507892017</v>
      </c>
      <c r="BX74">
        <v>47.647611767000001</v>
      </c>
      <c r="BY74" s="4">
        <f t="shared" si="76"/>
        <v>5.6610339361438218</v>
      </c>
      <c r="BZ74">
        <v>20.058846078999998</v>
      </c>
      <c r="CA74" s="4">
        <f t="shared" si="77"/>
        <v>2.38320041995788</v>
      </c>
      <c r="CB74">
        <v>15.426367004999999</v>
      </c>
      <c r="CC74" s="4">
        <f t="shared" si="78"/>
        <v>1.8328135217722952</v>
      </c>
      <c r="CD74">
        <v>16.560372046000001</v>
      </c>
      <c r="CE74" s="4">
        <f t="shared" si="79"/>
        <v>1.9675451648240319</v>
      </c>
    </row>
    <row r="75" spans="1:83" x14ac:dyDescent="0.2">
      <c r="A75" s="2">
        <v>42077</v>
      </c>
      <c r="B75">
        <v>2021</v>
      </c>
      <c r="C75">
        <v>1</v>
      </c>
      <c r="D75">
        <v>146.68132591099999</v>
      </c>
      <c r="E75" s="4">
        <f t="shared" si="40"/>
        <v>327.89856322654077</v>
      </c>
      <c r="F75">
        <v>156.21106148000001</v>
      </c>
      <c r="G75" s="4">
        <f t="shared" si="41"/>
        <v>349.20179716989873</v>
      </c>
      <c r="H75">
        <v>194.32144356000001</v>
      </c>
      <c r="I75" s="4">
        <f t="shared" si="42"/>
        <v>434.39559706524983</v>
      </c>
      <c r="J75">
        <v>168.89907646</v>
      </c>
      <c r="K75" s="4">
        <f t="shared" si="43"/>
        <v>377.56520237025239</v>
      </c>
      <c r="L75">
        <v>193.65841484000001</v>
      </c>
      <c r="M75" s="4">
        <f t="shared" si="44"/>
        <v>432.91343044781792</v>
      </c>
      <c r="N75">
        <v>155.34234810999999</v>
      </c>
      <c r="O75" s="4">
        <f t="shared" si="45"/>
        <v>347.25983309158431</v>
      </c>
      <c r="P75">
        <v>79.007007598000001</v>
      </c>
      <c r="Q75" s="4">
        <f t="shared" si="46"/>
        <v>176.61610375632566</v>
      </c>
      <c r="R75">
        <v>127.78557347100001</v>
      </c>
      <c r="S75" s="4">
        <f t="shared" si="47"/>
        <v>285.65808007246977</v>
      </c>
      <c r="T75">
        <v>108.197374341</v>
      </c>
      <c r="U75" s="4">
        <f t="shared" si="48"/>
        <v>241.8696679414017</v>
      </c>
      <c r="V75">
        <v>75.179953108999996</v>
      </c>
      <c r="W75" s="4">
        <f t="shared" si="49"/>
        <v>168.06092019400774</v>
      </c>
      <c r="X75">
        <v>121.004032145</v>
      </c>
      <c r="Y75" s="4">
        <f t="shared" si="50"/>
        <v>270.49829307541171</v>
      </c>
      <c r="Z75">
        <v>71.392566677999994</v>
      </c>
      <c r="AA75" s="4">
        <f t="shared" si="51"/>
        <v>159.59441253602461</v>
      </c>
      <c r="AB75">
        <v>20.206109404999999</v>
      </c>
      <c r="AC75" s="4">
        <f t="shared" si="52"/>
        <v>45.169718784229545</v>
      </c>
      <c r="AD75">
        <v>108.543918136</v>
      </c>
      <c r="AE75" s="4">
        <f t="shared" si="53"/>
        <v>242.64434877940096</v>
      </c>
      <c r="AF75">
        <v>49.605098239999997</v>
      </c>
      <c r="AG75" s="4">
        <f t="shared" si="54"/>
        <v>110.88964693076599</v>
      </c>
      <c r="AH75">
        <v>7.7719312239999994</v>
      </c>
      <c r="AI75" s="4">
        <f t="shared" si="55"/>
        <v>17.373752698358853</v>
      </c>
      <c r="AJ75">
        <v>117.706192497</v>
      </c>
      <c r="AK75" s="4">
        <f t="shared" si="56"/>
        <v>263.12614208335668</v>
      </c>
      <c r="AL75">
        <v>85.51849269600001</v>
      </c>
      <c r="AM75" s="4">
        <f t="shared" si="57"/>
        <v>191.17219393920772</v>
      </c>
      <c r="AN75">
        <v>45.626471038000012</v>
      </c>
      <c r="AO75" s="4">
        <f t="shared" si="58"/>
        <v>101.99563036084901</v>
      </c>
      <c r="AP75">
        <v>122.98700142</v>
      </c>
      <c r="AQ75" s="4">
        <f t="shared" si="59"/>
        <v>274.93111894575731</v>
      </c>
      <c r="AR75">
        <v>97.324180611999992</v>
      </c>
      <c r="AS75" s="4">
        <f t="shared" si="60"/>
        <v>217.56320234818631</v>
      </c>
      <c r="AT75">
        <v>23.039524912000001</v>
      </c>
      <c r="AU75" s="4">
        <f t="shared" si="61"/>
        <v>51.503673484999183</v>
      </c>
      <c r="AV75">
        <v>21.231677650999998</v>
      </c>
      <c r="AW75" s="4">
        <f t="shared" si="62"/>
        <v>47.462323873974952</v>
      </c>
      <c r="AX75">
        <v>32.358898167</v>
      </c>
      <c r="AY75" s="4">
        <f t="shared" si="63"/>
        <v>72.336653290080065</v>
      </c>
      <c r="AZ75">
        <v>28.64014912</v>
      </c>
      <c r="BA75" s="4">
        <f t="shared" si="64"/>
        <v>64.023580975399526</v>
      </c>
      <c r="BB75">
        <v>49.950694558999999</v>
      </c>
      <c r="BC75" s="4">
        <f t="shared" si="65"/>
        <v>111.66220973487671</v>
      </c>
      <c r="BD75">
        <v>37.209261656000002</v>
      </c>
      <c r="BE75" s="4">
        <f t="shared" si="66"/>
        <v>83.179391513857624</v>
      </c>
      <c r="BF75">
        <v>36.565921785</v>
      </c>
      <c r="BG75" s="4">
        <f t="shared" si="67"/>
        <v>81.741238306166792</v>
      </c>
      <c r="BH75">
        <v>24.488729000999999</v>
      </c>
      <c r="BI75" s="4">
        <f t="shared" si="68"/>
        <v>54.743294722766379</v>
      </c>
      <c r="BJ75">
        <v>40.888137577999998</v>
      </c>
      <c r="BK75" s="4">
        <f t="shared" si="69"/>
        <v>91.403329507467276</v>
      </c>
      <c r="BL75">
        <v>32.104833603000003</v>
      </c>
      <c r="BM75" s="4">
        <f t="shared" si="70"/>
        <v>71.768705018648959</v>
      </c>
      <c r="BN75">
        <v>41.045004843000001</v>
      </c>
      <c r="BO75" s="4">
        <f t="shared" si="71"/>
        <v>91.753998213870901</v>
      </c>
      <c r="BP75">
        <v>42.956581110000002</v>
      </c>
      <c r="BQ75" s="4">
        <f t="shared" si="72"/>
        <v>96.027228685127838</v>
      </c>
      <c r="BR75">
        <v>22.981795371</v>
      </c>
      <c r="BS75" s="4">
        <f t="shared" si="73"/>
        <v>51.374622063953851</v>
      </c>
      <c r="BT75">
        <v>65.928011892000001</v>
      </c>
      <c r="BU75" s="4">
        <f t="shared" si="74"/>
        <v>147.37868124321292</v>
      </c>
      <c r="BV75">
        <v>65.879152767999997</v>
      </c>
      <c r="BW75" s="4">
        <f t="shared" si="75"/>
        <v>147.26945918334533</v>
      </c>
      <c r="BX75">
        <v>20.586806179</v>
      </c>
      <c r="BY75" s="4">
        <f t="shared" si="76"/>
        <v>46.020746850987827</v>
      </c>
      <c r="BZ75">
        <v>21.113459111000001</v>
      </c>
      <c r="CA75" s="4">
        <f t="shared" si="77"/>
        <v>47.198052405388296</v>
      </c>
      <c r="CB75">
        <v>21.545096396999998</v>
      </c>
      <c r="CC75" s="4">
        <f t="shared" si="78"/>
        <v>48.16295536788455</v>
      </c>
      <c r="CD75">
        <v>30.468311075999999</v>
      </c>
      <c r="CE75" s="4">
        <f t="shared" si="79"/>
        <v>68.110343042723244</v>
      </c>
    </row>
    <row r="76" spans="1:83" x14ac:dyDescent="0.2">
      <c r="A76" s="2">
        <v>42078</v>
      </c>
      <c r="B76">
        <v>2021</v>
      </c>
      <c r="C76">
        <v>2</v>
      </c>
      <c r="D76">
        <v>50.396877289999999</v>
      </c>
      <c r="E76" s="4">
        <f t="shared" si="40"/>
        <v>12.692581551103824</v>
      </c>
      <c r="F76">
        <v>55.469405180000003</v>
      </c>
      <c r="G76" s="4">
        <f t="shared" si="41"/>
        <v>13.970110584174469</v>
      </c>
      <c r="H76">
        <v>72.417222024000012</v>
      </c>
      <c r="I76" s="4">
        <f t="shared" si="42"/>
        <v>18.238461302966417</v>
      </c>
      <c r="J76">
        <v>57.669858937999997</v>
      </c>
      <c r="K76" s="4">
        <f t="shared" si="43"/>
        <v>14.524300452172296</v>
      </c>
      <c r="L76">
        <v>79.280002590000009</v>
      </c>
      <c r="M76" s="4">
        <f t="shared" si="44"/>
        <v>19.966870019642393</v>
      </c>
      <c r="N76">
        <v>52.455873490000002</v>
      </c>
      <c r="O76" s="4">
        <f t="shared" si="45"/>
        <v>13.211144973824036</v>
      </c>
      <c r="P76">
        <v>25.565637590000001</v>
      </c>
      <c r="Q76" s="4">
        <f t="shared" si="46"/>
        <v>6.4387707625176249</v>
      </c>
      <c r="R76">
        <v>46.357135294999999</v>
      </c>
      <c r="S76" s="4">
        <f t="shared" si="47"/>
        <v>11.675162268914875</v>
      </c>
      <c r="T76">
        <v>42.607667442</v>
      </c>
      <c r="U76" s="4">
        <f t="shared" si="48"/>
        <v>10.73084926667083</v>
      </c>
      <c r="V76">
        <v>24.407848359999999</v>
      </c>
      <c r="W76" s="4">
        <f t="shared" si="49"/>
        <v>6.1471786042137877</v>
      </c>
      <c r="X76">
        <v>40.633915903000002</v>
      </c>
      <c r="Y76" s="4">
        <f t="shared" si="50"/>
        <v>10.233754928340762</v>
      </c>
      <c r="Z76">
        <v>27.097951417000001</v>
      </c>
      <c r="AA76" s="4">
        <f t="shared" si="51"/>
        <v>6.8246878918501732</v>
      </c>
      <c r="AB76">
        <v>4.8480138769999996</v>
      </c>
      <c r="AC76" s="4">
        <f t="shared" si="52"/>
        <v>1.22098460864192</v>
      </c>
      <c r="AD76">
        <v>31.813490387000002</v>
      </c>
      <c r="AE76" s="4">
        <f t="shared" si="53"/>
        <v>8.0123083586843222</v>
      </c>
      <c r="AF76">
        <v>20.899060252000002</v>
      </c>
      <c r="AG76" s="4">
        <f t="shared" si="54"/>
        <v>5.26348140706284</v>
      </c>
      <c r="AH76">
        <v>2.0735293330000002</v>
      </c>
      <c r="AI76" s="4">
        <f t="shared" si="55"/>
        <v>0.52222362917971221</v>
      </c>
      <c r="AJ76">
        <v>38.675771718</v>
      </c>
      <c r="AK76" s="4">
        <f t="shared" si="56"/>
        <v>9.7405913417575132</v>
      </c>
      <c r="AL76">
        <v>29.484937670000001</v>
      </c>
      <c r="AM76" s="4">
        <f t="shared" si="57"/>
        <v>7.4258564424972171</v>
      </c>
      <c r="AN76">
        <v>18.622407432999999</v>
      </c>
      <c r="AO76" s="4">
        <f t="shared" si="58"/>
        <v>4.6901006120102515</v>
      </c>
      <c r="AP76">
        <v>42.973514559999998</v>
      </c>
      <c r="AQ76" s="4">
        <f t="shared" si="59"/>
        <v>10.822988792573016</v>
      </c>
      <c r="AR76">
        <v>36.85091019</v>
      </c>
      <c r="AS76" s="4">
        <f t="shared" si="60"/>
        <v>9.2809953308711819</v>
      </c>
      <c r="AT76">
        <v>11.656167506999999</v>
      </c>
      <c r="AU76" s="4">
        <f t="shared" si="61"/>
        <v>2.935635392736534</v>
      </c>
      <c r="AV76">
        <v>6.9777443410000002</v>
      </c>
      <c r="AW76" s="4">
        <f t="shared" si="62"/>
        <v>1.7573626354121219</v>
      </c>
      <c r="AX76">
        <v>12.180620190000001</v>
      </c>
      <c r="AY76" s="4">
        <f t="shared" si="63"/>
        <v>3.0677201330343928</v>
      </c>
      <c r="AZ76">
        <v>8.4131162169999989</v>
      </c>
      <c r="BA76" s="4">
        <f t="shared" si="64"/>
        <v>2.1188646881574789</v>
      </c>
      <c r="BB76">
        <v>25.026412963999999</v>
      </c>
      <c r="BC76" s="4">
        <f t="shared" si="65"/>
        <v>6.3029656708551984</v>
      </c>
      <c r="BD76">
        <v>21.766261099000001</v>
      </c>
      <c r="BE76" s="4">
        <f t="shared" si="66"/>
        <v>5.4818881430277653</v>
      </c>
      <c r="BF76">
        <v>25.598541257000001</v>
      </c>
      <c r="BG76" s="4">
        <f t="shared" si="67"/>
        <v>6.4470576346252884</v>
      </c>
      <c r="BH76">
        <v>22.255629536000001</v>
      </c>
      <c r="BI76" s="4">
        <f t="shared" si="68"/>
        <v>5.6051368268582458</v>
      </c>
      <c r="BJ76">
        <v>17.731548306000001</v>
      </c>
      <c r="BK76" s="4">
        <f t="shared" si="69"/>
        <v>4.4657354781364447</v>
      </c>
      <c r="BL76">
        <v>20.830797195999999</v>
      </c>
      <c r="BM76" s="4">
        <f t="shared" si="70"/>
        <v>5.2462891830243965</v>
      </c>
      <c r="BN76">
        <v>26.519618039000001</v>
      </c>
      <c r="BO76" s="4">
        <f t="shared" si="71"/>
        <v>6.6790331616622192</v>
      </c>
      <c r="BP76">
        <v>24.808099747</v>
      </c>
      <c r="BQ76" s="4">
        <f t="shared" si="72"/>
        <v>6.247982932648795</v>
      </c>
      <c r="BR76">
        <v>13.576890469</v>
      </c>
      <c r="BS76" s="4">
        <f t="shared" si="73"/>
        <v>3.4193743492591455</v>
      </c>
      <c r="BT76">
        <v>23.647624011000001</v>
      </c>
      <c r="BU76" s="4">
        <f t="shared" si="74"/>
        <v>5.9557141709852646</v>
      </c>
      <c r="BV76">
        <v>22.951134679999999</v>
      </c>
      <c r="BW76" s="4">
        <f t="shared" si="75"/>
        <v>5.7803015639238859</v>
      </c>
      <c r="BX76">
        <v>9.3623160120000009</v>
      </c>
      <c r="BY76" s="4">
        <f t="shared" si="76"/>
        <v>2.3579230674495455</v>
      </c>
      <c r="BZ76">
        <v>12.611655711999999</v>
      </c>
      <c r="CA76" s="4">
        <f t="shared" si="77"/>
        <v>3.1762775240593553</v>
      </c>
      <c r="CB76">
        <v>13.053021908</v>
      </c>
      <c r="CC76" s="4">
        <f t="shared" si="78"/>
        <v>3.2874367215706282</v>
      </c>
      <c r="CD76">
        <v>20.725571632000001</v>
      </c>
      <c r="CE76" s="4">
        <f t="shared" si="79"/>
        <v>5.2197878574631824</v>
      </c>
    </row>
    <row r="77" spans="1:83" x14ac:dyDescent="0.2">
      <c r="A77" s="2">
        <v>42079</v>
      </c>
      <c r="B77">
        <v>2021</v>
      </c>
      <c r="C77">
        <v>3</v>
      </c>
      <c r="D77">
        <v>54.271652220000007</v>
      </c>
      <c r="E77" s="4">
        <f t="shared" si="40"/>
        <v>4.8710161184729213</v>
      </c>
      <c r="F77">
        <v>54.760981559999991</v>
      </c>
      <c r="G77" s="4">
        <f t="shared" si="41"/>
        <v>4.9149346469289847</v>
      </c>
      <c r="H77">
        <v>60.532441149999997</v>
      </c>
      <c r="I77" s="4">
        <f t="shared" si="42"/>
        <v>5.4329375368363069</v>
      </c>
      <c r="J77">
        <v>54.033801552</v>
      </c>
      <c r="K77" s="4">
        <f t="shared" si="43"/>
        <v>4.849668427915776</v>
      </c>
      <c r="L77">
        <v>64.876594539999999</v>
      </c>
      <c r="M77" s="4">
        <f t="shared" si="44"/>
        <v>5.8228361361645735</v>
      </c>
      <c r="N77">
        <v>57.57137299</v>
      </c>
      <c r="O77" s="4">
        <f t="shared" si="45"/>
        <v>5.1671742857602379</v>
      </c>
      <c r="P77">
        <v>32.676218980000002</v>
      </c>
      <c r="Q77" s="4">
        <f t="shared" si="46"/>
        <v>2.9327721348360818</v>
      </c>
      <c r="R77">
        <v>50.380611420000001</v>
      </c>
      <c r="S77" s="4">
        <f t="shared" si="47"/>
        <v>4.5217855039781742</v>
      </c>
      <c r="T77">
        <v>42.351377489999997</v>
      </c>
      <c r="U77" s="4">
        <f t="shared" si="48"/>
        <v>3.801141737072423</v>
      </c>
      <c r="V77">
        <v>37.356703760000002</v>
      </c>
      <c r="W77" s="4">
        <f t="shared" si="49"/>
        <v>3.3528573150924053</v>
      </c>
      <c r="X77">
        <v>49.247031212000003</v>
      </c>
      <c r="Y77" s="4">
        <f t="shared" si="50"/>
        <v>4.4200438536159057</v>
      </c>
      <c r="Z77">
        <v>34.912921910000001</v>
      </c>
      <c r="AA77" s="4">
        <f t="shared" si="51"/>
        <v>3.1335218002433685</v>
      </c>
      <c r="AB77">
        <v>21.453289036000001</v>
      </c>
      <c r="AC77" s="4">
        <f t="shared" si="52"/>
        <v>1.9254861868772197</v>
      </c>
      <c r="AD77">
        <v>43.169021599999986</v>
      </c>
      <c r="AE77" s="4">
        <f t="shared" si="53"/>
        <v>3.8745273348213094</v>
      </c>
      <c r="AF77">
        <v>32.441227437999999</v>
      </c>
      <c r="AG77" s="4">
        <f t="shared" si="54"/>
        <v>2.9116810579669501</v>
      </c>
      <c r="AH77">
        <v>17.573335885999999</v>
      </c>
      <c r="AI77" s="4">
        <f t="shared" si="55"/>
        <v>1.577250716618124</v>
      </c>
      <c r="AJ77">
        <v>48.527897834999997</v>
      </c>
      <c r="AK77" s="4">
        <f t="shared" si="56"/>
        <v>4.3554998398000153</v>
      </c>
      <c r="AL77">
        <v>38.523818020999997</v>
      </c>
      <c r="AM77" s="4">
        <f t="shared" si="57"/>
        <v>3.4576087303318985</v>
      </c>
      <c r="AN77">
        <v>28.619817256000001</v>
      </c>
      <c r="AO77" s="4">
        <f t="shared" si="58"/>
        <v>2.5686999650685305</v>
      </c>
      <c r="AP77">
        <v>54.179621699999998</v>
      </c>
      <c r="AQ77" s="4">
        <f t="shared" si="59"/>
        <v>4.8627561498157243</v>
      </c>
      <c r="AR77">
        <v>52.271343234</v>
      </c>
      <c r="AS77" s="4">
        <f t="shared" si="60"/>
        <v>4.6914833990112941</v>
      </c>
      <c r="AT77">
        <v>24.768160337000001</v>
      </c>
      <c r="AU77" s="4">
        <f t="shared" si="61"/>
        <v>2.2230041521011334</v>
      </c>
      <c r="AV77">
        <v>22.802428245000002</v>
      </c>
      <c r="AW77" s="4">
        <f t="shared" si="62"/>
        <v>2.0465747950969089</v>
      </c>
      <c r="AX77">
        <v>27.635382179</v>
      </c>
      <c r="AY77" s="4">
        <f t="shared" si="63"/>
        <v>2.4803444621216344</v>
      </c>
      <c r="AZ77">
        <v>27.173331739000002</v>
      </c>
      <c r="BA77" s="4">
        <f t="shared" si="64"/>
        <v>2.4388742829632029</v>
      </c>
      <c r="BB77">
        <v>31.70576286</v>
      </c>
      <c r="BC77" s="4">
        <f t="shared" si="65"/>
        <v>2.8456712781378464</v>
      </c>
      <c r="BD77">
        <v>30.653612623000001</v>
      </c>
      <c r="BE77" s="4">
        <f t="shared" si="66"/>
        <v>2.7512381707265074</v>
      </c>
      <c r="BF77">
        <v>33.384712219999997</v>
      </c>
      <c r="BG77" s="4">
        <f t="shared" si="67"/>
        <v>2.9963611698239885</v>
      </c>
      <c r="BH77">
        <v>25.748239517999998</v>
      </c>
      <c r="BI77" s="4">
        <f t="shared" si="68"/>
        <v>2.3109687025201722</v>
      </c>
      <c r="BJ77">
        <v>32.632737151999997</v>
      </c>
      <c r="BK77" s="4">
        <f t="shared" si="69"/>
        <v>2.9288695323468468</v>
      </c>
      <c r="BL77">
        <v>28.679353716000001</v>
      </c>
      <c r="BM77" s="4">
        <f t="shared" si="70"/>
        <v>2.5740435108135769</v>
      </c>
      <c r="BN77">
        <v>31.720855715999999</v>
      </c>
      <c r="BO77" s="4">
        <f t="shared" si="71"/>
        <v>2.847025899599374</v>
      </c>
      <c r="BP77">
        <v>28.91652298</v>
      </c>
      <c r="BQ77" s="4">
        <f t="shared" si="72"/>
        <v>2.5953300436625737</v>
      </c>
      <c r="BR77">
        <v>24.592779159999999</v>
      </c>
      <c r="BS77" s="4">
        <f t="shared" si="73"/>
        <v>2.2072632541350874</v>
      </c>
      <c r="BT77">
        <v>33.214942932</v>
      </c>
      <c r="BU77" s="4">
        <f t="shared" si="74"/>
        <v>2.9811239528894928</v>
      </c>
      <c r="BV77">
        <v>34.688739300000002</v>
      </c>
      <c r="BW77" s="4">
        <f t="shared" si="75"/>
        <v>3.1134008519743768</v>
      </c>
      <c r="BX77">
        <v>24.338626505000001</v>
      </c>
      <c r="BY77" s="4">
        <f t="shared" si="76"/>
        <v>2.1844524195940767</v>
      </c>
      <c r="BZ77">
        <v>27.524702193</v>
      </c>
      <c r="CA77" s="4">
        <f t="shared" si="77"/>
        <v>2.470410657386652</v>
      </c>
      <c r="CB77">
        <v>30.113731383000001</v>
      </c>
      <c r="CC77" s="4">
        <f t="shared" si="78"/>
        <v>2.7027824831892846</v>
      </c>
      <c r="CD77">
        <v>35.017391201999999</v>
      </c>
      <c r="CE77" s="4">
        <f t="shared" si="79"/>
        <v>3.1428981797048712</v>
      </c>
    </row>
    <row r="78" spans="1:83" x14ac:dyDescent="0.2">
      <c r="A78" s="2">
        <v>42080</v>
      </c>
      <c r="B78">
        <v>2021</v>
      </c>
      <c r="C78">
        <v>4</v>
      </c>
      <c r="D78">
        <v>35.660193448999998</v>
      </c>
      <c r="E78" s="4">
        <f t="shared" si="40"/>
        <v>9.0597341795122386</v>
      </c>
      <c r="F78">
        <v>44.815477368000003</v>
      </c>
      <c r="G78" s="4">
        <f t="shared" si="41"/>
        <v>11.385701332851646</v>
      </c>
      <c r="H78">
        <v>53.062129028999998</v>
      </c>
      <c r="I78" s="4">
        <f t="shared" si="42"/>
        <v>13.480823784347717</v>
      </c>
      <c r="J78">
        <v>27.503231524</v>
      </c>
      <c r="K78" s="4">
        <f t="shared" si="43"/>
        <v>6.9873980644939175</v>
      </c>
      <c r="L78">
        <v>35.408238414000003</v>
      </c>
      <c r="M78" s="4">
        <f t="shared" si="44"/>
        <v>8.9957231514858691</v>
      </c>
      <c r="N78">
        <v>30.085935594999999</v>
      </c>
      <c r="O78" s="4">
        <f t="shared" si="45"/>
        <v>7.6435530116359738</v>
      </c>
      <c r="P78">
        <v>24.749551296</v>
      </c>
      <c r="Q78" s="4">
        <f t="shared" si="46"/>
        <v>6.287805368320301</v>
      </c>
      <c r="R78">
        <v>23.049236298</v>
      </c>
      <c r="S78" s="4">
        <f t="shared" si="47"/>
        <v>5.855827849035423</v>
      </c>
      <c r="T78">
        <v>25.897675995</v>
      </c>
      <c r="U78" s="4">
        <f t="shared" si="48"/>
        <v>6.5794948846082217</v>
      </c>
      <c r="V78">
        <v>24.313743826</v>
      </c>
      <c r="W78" s="4">
        <f t="shared" si="49"/>
        <v>6.1770852782206074</v>
      </c>
      <c r="X78">
        <v>21.312258721999999</v>
      </c>
      <c r="Y78" s="4">
        <f t="shared" si="50"/>
        <v>5.4145359324102529</v>
      </c>
      <c r="Z78">
        <v>20.267078398999999</v>
      </c>
      <c r="AA78" s="4">
        <f t="shared" si="51"/>
        <v>5.1490001912881791</v>
      </c>
      <c r="AB78">
        <v>14.304634570999999</v>
      </c>
      <c r="AC78" s="4">
        <f t="shared" si="52"/>
        <v>3.6341975242973699</v>
      </c>
      <c r="AD78">
        <v>25.584698674999999</v>
      </c>
      <c r="AE78" s="4">
        <f t="shared" si="53"/>
        <v>6.4999806966812441</v>
      </c>
      <c r="AF78">
        <v>19.847786669000001</v>
      </c>
      <c r="AG78" s="4">
        <f t="shared" si="54"/>
        <v>5.0424760462943912</v>
      </c>
      <c r="AH78">
        <v>15.039183617000001</v>
      </c>
      <c r="AI78" s="4">
        <f t="shared" si="55"/>
        <v>3.8208151069555183</v>
      </c>
      <c r="AJ78">
        <v>33.065536496</v>
      </c>
      <c r="AK78" s="4">
        <f t="shared" si="56"/>
        <v>8.4005425148674018</v>
      </c>
      <c r="AL78">
        <v>28.680964469999999</v>
      </c>
      <c r="AM78" s="4">
        <f t="shared" si="57"/>
        <v>7.2866097734958224</v>
      </c>
      <c r="AN78">
        <v>24.530131340000001</v>
      </c>
      <c r="AO78" s="4">
        <f t="shared" si="58"/>
        <v>6.2320601161840976</v>
      </c>
      <c r="AP78">
        <v>40.440027233999999</v>
      </c>
      <c r="AQ78" s="4">
        <f t="shared" si="59"/>
        <v>10.274086075171015</v>
      </c>
      <c r="AR78">
        <v>36.624313362999999</v>
      </c>
      <c r="AS78" s="4">
        <f t="shared" si="60"/>
        <v>9.304675928089857</v>
      </c>
      <c r="AT78">
        <v>28.624196531999999</v>
      </c>
      <c r="AU78" s="4">
        <f t="shared" si="61"/>
        <v>7.2721874617118285</v>
      </c>
      <c r="AV78">
        <v>19.825313571999999</v>
      </c>
      <c r="AW78" s="4">
        <f t="shared" si="62"/>
        <v>5.0367665908675274</v>
      </c>
      <c r="AX78">
        <v>25.724122049999998</v>
      </c>
      <c r="AY78" s="4">
        <f t="shared" si="63"/>
        <v>6.5354022295934806</v>
      </c>
      <c r="AZ78">
        <v>27.316308020000001</v>
      </c>
      <c r="BA78" s="4">
        <f t="shared" si="64"/>
        <v>6.9399087747746977</v>
      </c>
      <c r="BB78">
        <v>27.972457413000001</v>
      </c>
      <c r="BC78" s="4">
        <f t="shared" si="65"/>
        <v>7.1066083495016263</v>
      </c>
      <c r="BD78">
        <v>27.826369286999999</v>
      </c>
      <c r="BE78" s="4">
        <f t="shared" si="66"/>
        <v>7.0694935876247467</v>
      </c>
      <c r="BF78">
        <v>26.674640650000001</v>
      </c>
      <c r="BG78" s="4">
        <f t="shared" si="67"/>
        <v>6.7768884644059169</v>
      </c>
      <c r="BH78">
        <v>24.920810700000001</v>
      </c>
      <c r="BI78" s="4">
        <f t="shared" si="68"/>
        <v>6.3313150783335317</v>
      </c>
      <c r="BJ78">
        <v>24.482280013</v>
      </c>
      <c r="BK78" s="4">
        <f t="shared" si="69"/>
        <v>6.2199031349445848</v>
      </c>
      <c r="BL78">
        <v>25.818668370000001</v>
      </c>
      <c r="BM78" s="4">
        <f t="shared" si="70"/>
        <v>6.5594224169229784</v>
      </c>
      <c r="BN78">
        <v>29.718474390000001</v>
      </c>
      <c r="BO78" s="4">
        <f t="shared" si="71"/>
        <v>7.5501967923730469</v>
      </c>
      <c r="BP78">
        <v>30.475523949999999</v>
      </c>
      <c r="BQ78" s="4">
        <f t="shared" si="72"/>
        <v>7.7425307959483698</v>
      </c>
      <c r="BR78">
        <v>25.425054549999999</v>
      </c>
      <c r="BS78" s="4">
        <f t="shared" si="73"/>
        <v>6.4594219336479108</v>
      </c>
      <c r="BT78">
        <v>23.287739757000001</v>
      </c>
      <c r="BU78" s="4">
        <f t="shared" si="74"/>
        <v>5.9164214053357966</v>
      </c>
      <c r="BV78">
        <v>25.512332919999999</v>
      </c>
      <c r="BW78" s="4">
        <f t="shared" si="75"/>
        <v>6.4815956448744627</v>
      </c>
      <c r="BX78">
        <v>18.913540838999999</v>
      </c>
      <c r="BY78" s="4">
        <f t="shared" si="76"/>
        <v>4.8051240282739967</v>
      </c>
      <c r="BZ78">
        <v>21.762242793999999</v>
      </c>
      <c r="CA78" s="4">
        <f t="shared" si="77"/>
        <v>5.5288576924187876</v>
      </c>
      <c r="CB78">
        <v>27.269143109000002</v>
      </c>
      <c r="CC78" s="4">
        <f t="shared" si="78"/>
        <v>6.9279261825638212</v>
      </c>
      <c r="CD78">
        <v>29.982019430000001</v>
      </c>
      <c r="CE78" s="4">
        <f t="shared" si="79"/>
        <v>7.6171523463338984</v>
      </c>
    </row>
    <row r="79" spans="1:83" x14ac:dyDescent="0.2">
      <c r="A79" s="2">
        <v>42081</v>
      </c>
      <c r="B79">
        <v>2021</v>
      </c>
      <c r="C79">
        <v>5</v>
      </c>
      <c r="D79">
        <v>46.863189704000007</v>
      </c>
      <c r="E79" s="4">
        <f t="shared" si="40"/>
        <v>22.710528849299582</v>
      </c>
      <c r="F79">
        <v>53.540537839999999</v>
      </c>
      <c r="G79" s="4">
        <f t="shared" si="41"/>
        <v>25.946461111641955</v>
      </c>
      <c r="H79">
        <v>65.804442399999999</v>
      </c>
      <c r="I79" s="4">
        <f t="shared" si="42"/>
        <v>31.889713375820715</v>
      </c>
      <c r="J79">
        <v>44.129236218000003</v>
      </c>
      <c r="K79" s="4">
        <f t="shared" si="43"/>
        <v>21.385618404478823</v>
      </c>
      <c r="L79">
        <v>39.993735311999998</v>
      </c>
      <c r="M79" s="4">
        <f t="shared" si="44"/>
        <v>19.381499324551978</v>
      </c>
      <c r="N79">
        <v>45.914230345999997</v>
      </c>
      <c r="O79" s="4">
        <f t="shared" si="45"/>
        <v>22.250650445529033</v>
      </c>
      <c r="P79">
        <v>54.802344329</v>
      </c>
      <c r="Q79" s="4">
        <f t="shared" si="46"/>
        <v>26.557949421585615</v>
      </c>
      <c r="R79">
        <v>46.354391575999998</v>
      </c>
      <c r="S79" s="4">
        <f t="shared" si="47"/>
        <v>22.463958467782689</v>
      </c>
      <c r="T79">
        <v>42.932830815000003</v>
      </c>
      <c r="U79" s="4">
        <f t="shared" si="48"/>
        <v>20.805824336001869</v>
      </c>
      <c r="V79">
        <v>49.773128509999999</v>
      </c>
      <c r="W79" s="4">
        <f t="shared" si="49"/>
        <v>24.120724135211127</v>
      </c>
      <c r="X79">
        <v>47.527299407000001</v>
      </c>
      <c r="Y79" s="4">
        <f t="shared" si="50"/>
        <v>23.032365298426171</v>
      </c>
      <c r="Z79">
        <v>41.709222793999999</v>
      </c>
      <c r="AA79" s="4">
        <f t="shared" si="51"/>
        <v>20.212847514819273</v>
      </c>
      <c r="AB79">
        <v>47.370144839999988</v>
      </c>
      <c r="AC79" s="4">
        <f t="shared" si="52"/>
        <v>22.95620609223052</v>
      </c>
      <c r="AD79">
        <v>44.948588377999997</v>
      </c>
      <c r="AE79" s="4">
        <f t="shared" si="53"/>
        <v>21.782687425707387</v>
      </c>
      <c r="AF79">
        <v>50.531604758</v>
      </c>
      <c r="AG79" s="4">
        <f t="shared" si="54"/>
        <v>24.488291874848837</v>
      </c>
      <c r="AH79">
        <v>55.529731269000003</v>
      </c>
      <c r="AI79" s="4">
        <f t="shared" si="55"/>
        <v>26.910450866532365</v>
      </c>
      <c r="AJ79">
        <v>49.830059525000003</v>
      </c>
      <c r="AK79" s="4">
        <f t="shared" si="56"/>
        <v>24.148313666925549</v>
      </c>
      <c r="AL79">
        <v>61.090854168</v>
      </c>
      <c r="AM79" s="4">
        <f t="shared" si="57"/>
        <v>29.605445441804736</v>
      </c>
      <c r="AN79">
        <v>71.204854967999992</v>
      </c>
      <c r="AO79" s="4">
        <f t="shared" si="58"/>
        <v>34.506825574080139</v>
      </c>
      <c r="AP79">
        <v>66.813896651999997</v>
      </c>
      <c r="AQ79" s="4">
        <f t="shared" si="59"/>
        <v>32.378908414760566</v>
      </c>
      <c r="AR79">
        <v>72.85854625799999</v>
      </c>
      <c r="AS79" s="4">
        <f t="shared" si="60"/>
        <v>35.308226502753477</v>
      </c>
      <c r="AT79">
        <v>84.323846816</v>
      </c>
      <c r="AU79" s="4">
        <f t="shared" si="61"/>
        <v>40.864464580720345</v>
      </c>
      <c r="AV79">
        <v>72.668494217000003</v>
      </c>
      <c r="AW79" s="4">
        <f t="shared" si="62"/>
        <v>35.216124740426572</v>
      </c>
      <c r="AX79">
        <v>75.847958554000002</v>
      </c>
      <c r="AY79" s="4">
        <f t="shared" si="63"/>
        <v>36.756935705425704</v>
      </c>
      <c r="AZ79">
        <v>75.795958517999992</v>
      </c>
      <c r="BA79" s="4">
        <f t="shared" si="64"/>
        <v>36.731735792120567</v>
      </c>
      <c r="BB79">
        <v>58.794603823000003</v>
      </c>
      <c r="BC79" s="4">
        <f t="shared" si="65"/>
        <v>28.492651796414325</v>
      </c>
      <c r="BD79">
        <v>68.470960615999999</v>
      </c>
      <c r="BE79" s="4">
        <f t="shared" si="66"/>
        <v>33.181943786387109</v>
      </c>
      <c r="BF79">
        <v>66.024645808000002</v>
      </c>
      <c r="BG79" s="4">
        <f t="shared" si="67"/>
        <v>31.996426894078549</v>
      </c>
      <c r="BH79">
        <v>75.183467860000007</v>
      </c>
      <c r="BI79" s="4">
        <f t="shared" si="68"/>
        <v>36.434914622962125</v>
      </c>
      <c r="BJ79">
        <v>75.498203279999998</v>
      </c>
      <c r="BK79" s="4">
        <f t="shared" si="69"/>
        <v>36.587439619253537</v>
      </c>
      <c r="BL79">
        <v>76.615497591999997</v>
      </c>
      <c r="BM79" s="4">
        <f t="shared" si="70"/>
        <v>37.128895394374801</v>
      </c>
      <c r="BN79">
        <v>83.271012295999995</v>
      </c>
      <c r="BO79" s="4">
        <f t="shared" si="71"/>
        <v>40.354246883397074</v>
      </c>
      <c r="BP79">
        <v>82.194260596999996</v>
      </c>
      <c r="BQ79" s="4">
        <f t="shared" si="72"/>
        <v>39.832438601072994</v>
      </c>
      <c r="BR79">
        <v>78.417100906000002</v>
      </c>
      <c r="BS79" s="4">
        <f t="shared" si="73"/>
        <v>38.001976469223159</v>
      </c>
      <c r="BT79">
        <v>59.271089560999997</v>
      </c>
      <c r="BU79" s="4">
        <f t="shared" si="74"/>
        <v>28.723563161335885</v>
      </c>
      <c r="BV79">
        <v>64.606031419999994</v>
      </c>
      <c r="BW79" s="4">
        <f t="shared" si="75"/>
        <v>31.308947377891119</v>
      </c>
      <c r="BX79">
        <v>63.567121026000002</v>
      </c>
      <c r="BY79" s="4">
        <f t="shared" si="76"/>
        <v>30.80547749835878</v>
      </c>
      <c r="BZ79">
        <v>77.646070473999998</v>
      </c>
      <c r="CA79" s="4">
        <f t="shared" si="77"/>
        <v>37.628324804020153</v>
      </c>
      <c r="CB79">
        <v>84.820481301000001</v>
      </c>
      <c r="CC79" s="4">
        <f t="shared" si="78"/>
        <v>41.105140298066722</v>
      </c>
      <c r="CD79">
        <v>82.368283271999999</v>
      </c>
      <c r="CE79" s="4">
        <f t="shared" si="79"/>
        <v>39.916772318132857</v>
      </c>
    </row>
    <row r="80" spans="1:83" x14ac:dyDescent="0.2">
      <c r="A80" s="2">
        <v>42082</v>
      </c>
      <c r="B80">
        <v>2021</v>
      </c>
      <c r="C80">
        <v>6</v>
      </c>
      <c r="D80">
        <v>153.03325939300001</v>
      </c>
      <c r="E80" s="4">
        <f t="shared" si="40"/>
        <v>220.76663965703858</v>
      </c>
      <c r="F80">
        <v>134.10878134000001</v>
      </c>
      <c r="G80" s="4">
        <f t="shared" si="41"/>
        <v>193.46608131046983</v>
      </c>
      <c r="H80">
        <v>140.802657119</v>
      </c>
      <c r="I80" s="4">
        <f t="shared" si="42"/>
        <v>203.12270411176831</v>
      </c>
      <c r="J80">
        <v>157.28344344300001</v>
      </c>
      <c r="K80" s="4">
        <f t="shared" si="43"/>
        <v>226.89797904276534</v>
      </c>
      <c r="L80">
        <v>152.94798089400001</v>
      </c>
      <c r="M80" s="4">
        <f t="shared" si="44"/>
        <v>220.64361641533347</v>
      </c>
      <c r="N80">
        <v>157.713264232</v>
      </c>
      <c r="O80" s="4">
        <f t="shared" si="45"/>
        <v>227.51804092747358</v>
      </c>
      <c r="P80">
        <v>138.34797000500001</v>
      </c>
      <c r="Q80" s="4">
        <f t="shared" si="46"/>
        <v>199.58155869202957</v>
      </c>
      <c r="R80">
        <v>147.91185928600001</v>
      </c>
      <c r="S80" s="4">
        <f t="shared" si="47"/>
        <v>213.37847909347087</v>
      </c>
      <c r="T80">
        <v>144.97869467300001</v>
      </c>
      <c r="U80" s="4">
        <f t="shared" si="48"/>
        <v>209.14707934585127</v>
      </c>
      <c r="V80">
        <v>150.22006321200001</v>
      </c>
      <c r="W80" s="4">
        <f t="shared" si="49"/>
        <v>216.70830704333883</v>
      </c>
      <c r="X80">
        <v>152.44552634499999</v>
      </c>
      <c r="Y80" s="4">
        <f t="shared" si="50"/>
        <v>219.91877266043269</v>
      </c>
      <c r="Z80">
        <v>157.633131515</v>
      </c>
      <c r="AA80" s="4">
        <f t="shared" si="51"/>
        <v>227.40244101978783</v>
      </c>
      <c r="AB80">
        <v>154.270383842</v>
      </c>
      <c r="AC80" s="4">
        <f t="shared" si="52"/>
        <v>222.5513223366508</v>
      </c>
      <c r="AD80">
        <v>149.425417888</v>
      </c>
      <c r="AE80" s="4">
        <f t="shared" si="53"/>
        <v>215.56194723505598</v>
      </c>
      <c r="AF80">
        <v>141.62971210000001</v>
      </c>
      <c r="AG80" s="4">
        <f t="shared" si="54"/>
        <v>204.31581827329902</v>
      </c>
      <c r="AH80">
        <v>151.711072906</v>
      </c>
      <c r="AI80" s="4">
        <f t="shared" si="55"/>
        <v>218.85924600357575</v>
      </c>
      <c r="AJ80">
        <v>133.23169040600001</v>
      </c>
      <c r="AK80" s="4">
        <f t="shared" si="56"/>
        <v>192.20078500206688</v>
      </c>
      <c r="AL80">
        <v>134.93247224500001</v>
      </c>
      <c r="AM80" s="4">
        <f t="shared" si="57"/>
        <v>194.6543424370654</v>
      </c>
      <c r="AN80">
        <v>145.07281016799999</v>
      </c>
      <c r="AO80" s="4">
        <f t="shared" si="58"/>
        <v>209.28285088762732</v>
      </c>
      <c r="AP80">
        <v>137.476563932</v>
      </c>
      <c r="AQ80" s="4">
        <f t="shared" si="59"/>
        <v>198.32446339603965</v>
      </c>
      <c r="AR80">
        <v>135.39110040899999</v>
      </c>
      <c r="AS80" s="4">
        <f t="shared" si="60"/>
        <v>195.31596200277258</v>
      </c>
      <c r="AT80">
        <v>166.88961649000001</v>
      </c>
      <c r="AU80" s="4">
        <f t="shared" si="61"/>
        <v>240.75589824256519</v>
      </c>
      <c r="AV80">
        <v>167.36101627100001</v>
      </c>
      <c r="AW80" s="4">
        <f t="shared" si="62"/>
        <v>241.43594221470053</v>
      </c>
      <c r="AX80">
        <v>150.91062736000001</v>
      </c>
      <c r="AY80" s="4">
        <f t="shared" si="63"/>
        <v>217.70451876245326</v>
      </c>
      <c r="AZ80">
        <v>157.366540915</v>
      </c>
      <c r="BA80" s="4">
        <f t="shared" si="64"/>
        <v>227.01785592266845</v>
      </c>
      <c r="BB80">
        <v>167.69219112299999</v>
      </c>
      <c r="BC80" s="4">
        <f t="shared" si="65"/>
        <v>241.9136969165539</v>
      </c>
      <c r="BD80">
        <v>165.868122578</v>
      </c>
      <c r="BE80" s="4">
        <f t="shared" si="66"/>
        <v>239.28228538692292</v>
      </c>
      <c r="BF80">
        <v>185.77331566699999</v>
      </c>
      <c r="BG80" s="4">
        <f t="shared" si="67"/>
        <v>267.99762875354304</v>
      </c>
      <c r="BH80">
        <v>190.41972160200001</v>
      </c>
      <c r="BI80" s="4">
        <f t="shared" si="68"/>
        <v>274.7005600563275</v>
      </c>
      <c r="BJ80">
        <v>171.37645910200001</v>
      </c>
      <c r="BK80" s="4">
        <f t="shared" si="69"/>
        <v>247.22864259925083</v>
      </c>
      <c r="BL80">
        <v>199.166291237</v>
      </c>
      <c r="BM80" s="4">
        <f t="shared" si="70"/>
        <v>287.31841054519685</v>
      </c>
      <c r="BN80">
        <v>190.39261768</v>
      </c>
      <c r="BO80" s="4">
        <f t="shared" si="71"/>
        <v>274.66145978619534</v>
      </c>
      <c r="BP80">
        <v>194.61527157899999</v>
      </c>
      <c r="BQ80" s="4">
        <f t="shared" si="72"/>
        <v>280.75308402144026</v>
      </c>
      <c r="BR80">
        <v>187.204343317</v>
      </c>
      <c r="BS80" s="4">
        <f t="shared" si="73"/>
        <v>270.06203728015942</v>
      </c>
      <c r="BT80">
        <v>152.49337722600001</v>
      </c>
      <c r="BU80" s="4">
        <f t="shared" si="74"/>
        <v>219.98780261016324</v>
      </c>
      <c r="BV80">
        <v>164.668757443</v>
      </c>
      <c r="BW80" s="4">
        <f t="shared" si="75"/>
        <v>237.55207450579815</v>
      </c>
      <c r="BX80">
        <v>163.87939833999999</v>
      </c>
      <c r="BY80" s="4">
        <f t="shared" si="76"/>
        <v>236.41334062962497</v>
      </c>
      <c r="BZ80">
        <v>168.95231724300001</v>
      </c>
      <c r="CA80" s="4">
        <f t="shared" si="77"/>
        <v>243.73156193596154</v>
      </c>
      <c r="CB80">
        <v>175.74062536299999</v>
      </c>
      <c r="CC80" s="4">
        <f t="shared" si="78"/>
        <v>253.52441336285557</v>
      </c>
      <c r="CD80">
        <v>172.78781221200001</v>
      </c>
      <c r="CE80" s="4">
        <f t="shared" si="79"/>
        <v>249.26466852394248</v>
      </c>
    </row>
    <row r="81" spans="1:83" x14ac:dyDescent="0.2">
      <c r="A81" s="2">
        <v>42083</v>
      </c>
      <c r="B81">
        <v>2021</v>
      </c>
      <c r="C81">
        <v>7</v>
      </c>
      <c r="D81">
        <v>461.08572960200001</v>
      </c>
      <c r="E81" s="4">
        <f t="shared" si="40"/>
        <v>375.59472130616047</v>
      </c>
      <c r="F81">
        <v>452.78713702800002</v>
      </c>
      <c r="G81" s="4">
        <f t="shared" si="41"/>
        <v>368.83479063609752</v>
      </c>
      <c r="H81">
        <v>429.78462934300001</v>
      </c>
      <c r="I81" s="4">
        <f t="shared" si="42"/>
        <v>350.09723293560671</v>
      </c>
      <c r="J81">
        <v>496.67851545000002</v>
      </c>
      <c r="K81" s="4">
        <f t="shared" si="43"/>
        <v>404.58816357258843</v>
      </c>
      <c r="L81">
        <v>466.82616139300001</v>
      </c>
      <c r="M81" s="4">
        <f t="shared" si="44"/>
        <v>380.27080590452516</v>
      </c>
      <c r="N81">
        <v>452.00171182499997</v>
      </c>
      <c r="O81" s="4">
        <f t="shared" si="45"/>
        <v>368.19499299915424</v>
      </c>
      <c r="P81">
        <v>513.11777495199999</v>
      </c>
      <c r="Q81" s="4">
        <f t="shared" si="46"/>
        <v>417.97938063858402</v>
      </c>
      <c r="R81">
        <v>473.14820097099999</v>
      </c>
      <c r="S81" s="4">
        <f t="shared" si="47"/>
        <v>385.42066099857692</v>
      </c>
      <c r="T81">
        <v>429.60117913800002</v>
      </c>
      <c r="U81" s="4">
        <f t="shared" si="48"/>
        <v>349.94779667202943</v>
      </c>
      <c r="V81">
        <v>461.85113572400002</v>
      </c>
      <c r="W81" s="4">
        <f t="shared" si="49"/>
        <v>376.21821164780857</v>
      </c>
      <c r="X81">
        <v>453.75643208700001</v>
      </c>
      <c r="Y81" s="4">
        <f t="shared" si="50"/>
        <v>369.62436637912214</v>
      </c>
      <c r="Z81">
        <v>372.88252542800001</v>
      </c>
      <c r="AA81" s="4">
        <f t="shared" si="51"/>
        <v>303.74548424857488</v>
      </c>
      <c r="AB81">
        <v>367.08374500600002</v>
      </c>
      <c r="AC81" s="4">
        <f t="shared" si="52"/>
        <v>299.02186957848585</v>
      </c>
      <c r="AD81">
        <v>449.72227286999998</v>
      </c>
      <c r="AE81" s="4">
        <f t="shared" si="53"/>
        <v>366.33819027447083</v>
      </c>
      <c r="AF81">
        <v>366.93873120000001</v>
      </c>
      <c r="AG81" s="4">
        <f t="shared" si="54"/>
        <v>298.90374312920898</v>
      </c>
      <c r="AH81">
        <v>369.64071465900003</v>
      </c>
      <c r="AI81" s="4">
        <f t="shared" si="55"/>
        <v>301.10474537044723</v>
      </c>
      <c r="AJ81">
        <v>444.93520068999999</v>
      </c>
      <c r="AK81" s="4">
        <f t="shared" si="56"/>
        <v>362.43870060067076</v>
      </c>
      <c r="AL81">
        <v>393.83280993</v>
      </c>
      <c r="AM81" s="4">
        <f t="shared" si="57"/>
        <v>320.81132637647084</v>
      </c>
      <c r="AN81">
        <v>417.77669000499998</v>
      </c>
      <c r="AO81" s="4">
        <f t="shared" si="58"/>
        <v>340.31571435985194</v>
      </c>
      <c r="AP81">
        <v>444.08088206100001</v>
      </c>
      <c r="AQ81" s="4">
        <f t="shared" si="59"/>
        <v>361.7427832326731</v>
      </c>
      <c r="AR81">
        <v>426.92963221500003</v>
      </c>
      <c r="AS81" s="4">
        <f t="shared" si="60"/>
        <v>347.7715876558305</v>
      </c>
      <c r="AT81">
        <v>539.726774213</v>
      </c>
      <c r="AU81" s="4">
        <f t="shared" si="61"/>
        <v>439.65474168325989</v>
      </c>
      <c r="AV81">
        <v>441.52803229900002</v>
      </c>
      <c r="AW81" s="4">
        <f t="shared" si="62"/>
        <v>359.66326345286438</v>
      </c>
      <c r="AX81">
        <v>454.35319041100001</v>
      </c>
      <c r="AY81" s="4">
        <f t="shared" si="63"/>
        <v>370.11047831449559</v>
      </c>
      <c r="AZ81">
        <v>523.46048735600004</v>
      </c>
      <c r="BA81" s="4">
        <f t="shared" si="64"/>
        <v>426.40442599030928</v>
      </c>
      <c r="BB81">
        <v>591.98201941699995</v>
      </c>
      <c r="BC81" s="4">
        <f t="shared" si="65"/>
        <v>482.22121685073665</v>
      </c>
      <c r="BD81">
        <v>580.05021621200001</v>
      </c>
      <c r="BE81" s="4">
        <f t="shared" si="66"/>
        <v>472.50171782540298</v>
      </c>
      <c r="BF81">
        <v>678.61093567199998</v>
      </c>
      <c r="BG81" s="4">
        <f t="shared" si="67"/>
        <v>552.78805847894546</v>
      </c>
      <c r="BH81">
        <v>636.82023522399993</v>
      </c>
      <c r="BI81" s="4">
        <f t="shared" si="68"/>
        <v>518.74587178731963</v>
      </c>
      <c r="BJ81">
        <v>563.06199982199996</v>
      </c>
      <c r="BK81" s="4">
        <f t="shared" si="69"/>
        <v>458.66332728141782</v>
      </c>
      <c r="BL81">
        <v>643.14003561599998</v>
      </c>
      <c r="BM81" s="4">
        <f t="shared" si="70"/>
        <v>523.89390286820503</v>
      </c>
      <c r="BN81">
        <v>666.59370755299994</v>
      </c>
      <c r="BO81" s="4">
        <f t="shared" si="71"/>
        <v>542.99897337729976</v>
      </c>
      <c r="BP81">
        <v>655.45441961500001</v>
      </c>
      <c r="BQ81" s="4">
        <f t="shared" si="72"/>
        <v>533.92504746717975</v>
      </c>
      <c r="BR81">
        <v>615.08851670000001</v>
      </c>
      <c r="BS81" s="4">
        <f t="shared" si="73"/>
        <v>501.0434831890621</v>
      </c>
      <c r="BT81">
        <v>520.040090588</v>
      </c>
      <c r="BU81" s="4">
        <f t="shared" si="74"/>
        <v>423.61821317053199</v>
      </c>
      <c r="BV81">
        <v>504.331305036</v>
      </c>
      <c r="BW81" s="4">
        <f t="shared" si="75"/>
        <v>410.82203113177195</v>
      </c>
      <c r="BX81">
        <v>459.115256321</v>
      </c>
      <c r="BY81" s="4">
        <f t="shared" si="76"/>
        <v>373.9895981906451</v>
      </c>
      <c r="BZ81">
        <v>542.11960696599999</v>
      </c>
      <c r="CA81" s="4">
        <f t="shared" si="77"/>
        <v>441.60391359055586</v>
      </c>
      <c r="CB81">
        <v>585.11138347500003</v>
      </c>
      <c r="CC81" s="4">
        <f t="shared" si="78"/>
        <v>476.62448195707805</v>
      </c>
      <c r="CD81">
        <v>580.85787775400001</v>
      </c>
      <c r="CE81" s="4">
        <f t="shared" si="79"/>
        <v>473.15962890853069</v>
      </c>
    </row>
    <row r="82" spans="1:83" x14ac:dyDescent="0.2">
      <c r="A82" s="2">
        <v>42084</v>
      </c>
      <c r="B82">
        <v>2021</v>
      </c>
      <c r="C82">
        <v>8</v>
      </c>
      <c r="D82">
        <v>276.33370591300002</v>
      </c>
      <c r="E82" s="4">
        <f t="shared" si="40"/>
        <v>248.19047841358042</v>
      </c>
      <c r="F82">
        <v>277.52126408399999</v>
      </c>
      <c r="G82" s="4">
        <f t="shared" si="41"/>
        <v>249.25708963145783</v>
      </c>
      <c r="H82">
        <v>261.45934154100001</v>
      </c>
      <c r="I82" s="4">
        <f t="shared" si="42"/>
        <v>234.83099482330545</v>
      </c>
      <c r="J82">
        <v>259.38303947999998</v>
      </c>
      <c r="K82" s="4">
        <f t="shared" si="43"/>
        <v>232.96615390515504</v>
      </c>
      <c r="L82">
        <v>253.14985372199999</v>
      </c>
      <c r="M82" s="4">
        <f t="shared" si="44"/>
        <v>227.36778742934845</v>
      </c>
      <c r="N82">
        <v>260.26654338200001</v>
      </c>
      <c r="O82" s="4">
        <f t="shared" si="45"/>
        <v>233.75967728440827</v>
      </c>
      <c r="P82">
        <v>221.94609116000001</v>
      </c>
      <c r="Q82" s="4">
        <f t="shared" si="46"/>
        <v>199.34197446173027</v>
      </c>
      <c r="R82">
        <v>255.90503551200001</v>
      </c>
      <c r="S82" s="4">
        <f t="shared" si="47"/>
        <v>229.84236751836511</v>
      </c>
      <c r="T82">
        <v>235.00710058999999</v>
      </c>
      <c r="U82" s="4">
        <f t="shared" si="48"/>
        <v>211.07278438332762</v>
      </c>
      <c r="V82">
        <v>248.547506355</v>
      </c>
      <c r="W82" s="4">
        <f t="shared" si="49"/>
        <v>223.23416648337223</v>
      </c>
      <c r="X82">
        <v>271.41710520999999</v>
      </c>
      <c r="Y82" s="4">
        <f t="shared" si="50"/>
        <v>243.77460928674179</v>
      </c>
      <c r="Z82">
        <v>246.640680086</v>
      </c>
      <c r="AA82" s="4">
        <f t="shared" si="51"/>
        <v>221.52154108217096</v>
      </c>
      <c r="AB82">
        <v>246.68458939199999</v>
      </c>
      <c r="AC82" s="4">
        <f t="shared" si="52"/>
        <v>221.56097844152941</v>
      </c>
      <c r="AD82">
        <v>284.92101192600001</v>
      </c>
      <c r="AE82" s="4">
        <f t="shared" si="53"/>
        <v>255.90320958623471</v>
      </c>
      <c r="AF82">
        <v>251.164174312</v>
      </c>
      <c r="AG82" s="4">
        <f t="shared" si="54"/>
        <v>225.58433969134774</v>
      </c>
      <c r="AH82">
        <v>254.729305732</v>
      </c>
      <c r="AI82" s="4">
        <f t="shared" si="55"/>
        <v>228.78638002809791</v>
      </c>
      <c r="AJ82">
        <v>284.69169330900002</v>
      </c>
      <c r="AK82" s="4">
        <f t="shared" si="56"/>
        <v>255.69724594139333</v>
      </c>
      <c r="AL82">
        <v>262.69937275299998</v>
      </c>
      <c r="AM82" s="4">
        <f t="shared" si="57"/>
        <v>235.94473496129257</v>
      </c>
      <c r="AN82">
        <v>266.54634332799998</v>
      </c>
      <c r="AO82" s="4">
        <f t="shared" si="58"/>
        <v>239.39991052265827</v>
      </c>
      <c r="AP82">
        <v>276.31806565699998</v>
      </c>
      <c r="AQ82" s="4">
        <f t="shared" si="59"/>
        <v>248.17643104065377</v>
      </c>
      <c r="AR82">
        <v>268.64081382000001</v>
      </c>
      <c r="AS82" s="4">
        <f t="shared" si="60"/>
        <v>241.28106950655825</v>
      </c>
      <c r="AT82">
        <v>298.856430063</v>
      </c>
      <c r="AU82" s="4">
        <f t="shared" si="61"/>
        <v>268.41937399291851</v>
      </c>
      <c r="AV82">
        <v>275.38206960500003</v>
      </c>
      <c r="AW82" s="4">
        <f t="shared" si="62"/>
        <v>247.33576157844843</v>
      </c>
      <c r="AX82">
        <v>277.38672018599999</v>
      </c>
      <c r="AY82" s="4">
        <f t="shared" si="63"/>
        <v>249.13624836708175</v>
      </c>
      <c r="AZ82">
        <v>308.11809205999998</v>
      </c>
      <c r="BA82" s="4">
        <f t="shared" si="64"/>
        <v>276.73778131259598</v>
      </c>
      <c r="BB82">
        <v>246.94810962700001</v>
      </c>
      <c r="BC82" s="4">
        <f t="shared" si="65"/>
        <v>221.79766043795914</v>
      </c>
      <c r="BD82">
        <v>266.39544296399998</v>
      </c>
      <c r="BE82" s="4">
        <f t="shared" si="66"/>
        <v>239.26437861781807</v>
      </c>
      <c r="BF82">
        <v>273.05129049499999</v>
      </c>
      <c r="BG82" s="4">
        <f t="shared" si="67"/>
        <v>245.24236084589569</v>
      </c>
      <c r="BH82">
        <v>286.31179953100002</v>
      </c>
      <c r="BI82" s="4">
        <f t="shared" si="68"/>
        <v>257.15235232079965</v>
      </c>
      <c r="BJ82">
        <v>281.95445468399998</v>
      </c>
      <c r="BK82" s="4">
        <f t="shared" si="69"/>
        <v>253.23878159435935</v>
      </c>
      <c r="BL82">
        <v>298.20156431599997</v>
      </c>
      <c r="BM82" s="4">
        <f t="shared" si="70"/>
        <v>267.83120309821129</v>
      </c>
      <c r="BN82">
        <v>286.285789018</v>
      </c>
      <c r="BO82" s="4">
        <f t="shared" si="71"/>
        <v>257.12899085049361</v>
      </c>
      <c r="BP82">
        <v>288.991658196</v>
      </c>
      <c r="BQ82" s="4">
        <f t="shared" si="72"/>
        <v>259.55928057426627</v>
      </c>
      <c r="BR82">
        <v>314.28264857400001</v>
      </c>
      <c r="BS82" s="4">
        <f t="shared" si="73"/>
        <v>282.27450809502807</v>
      </c>
      <c r="BT82">
        <v>241.29541419899999</v>
      </c>
      <c r="BU82" s="4">
        <f t="shared" si="74"/>
        <v>216.72066420991564</v>
      </c>
      <c r="BV82">
        <v>268.89342879399999</v>
      </c>
      <c r="BW82" s="4">
        <f t="shared" si="75"/>
        <v>241.50795688913195</v>
      </c>
      <c r="BX82">
        <v>277.06646586800002</v>
      </c>
      <c r="BY82" s="4">
        <f t="shared" si="76"/>
        <v>248.84861037469204</v>
      </c>
      <c r="BZ82">
        <v>288.50547216699999</v>
      </c>
      <c r="CA82" s="4">
        <f t="shared" si="77"/>
        <v>259.12261019872579</v>
      </c>
      <c r="CB82">
        <v>312.03345535300002</v>
      </c>
      <c r="CC82" s="4">
        <f t="shared" si="78"/>
        <v>280.25438413034487</v>
      </c>
      <c r="CD82">
        <v>302.32657719500003</v>
      </c>
      <c r="CE82" s="4">
        <f t="shared" si="79"/>
        <v>271.53610372377426</v>
      </c>
    </row>
    <row r="83" spans="1:83" x14ac:dyDescent="0.2">
      <c r="A83" s="2">
        <v>42085</v>
      </c>
      <c r="B83">
        <v>2021</v>
      </c>
      <c r="C83">
        <v>9</v>
      </c>
      <c r="D83">
        <v>374.07958651899997</v>
      </c>
      <c r="E83" s="4">
        <f t="shared" si="40"/>
        <v>351.77458730807285</v>
      </c>
      <c r="F83">
        <v>371.44943666400002</v>
      </c>
      <c r="G83" s="4">
        <f t="shared" si="41"/>
        <v>349.30126368084518</v>
      </c>
      <c r="H83">
        <v>378.49472189199997</v>
      </c>
      <c r="I83" s="4">
        <f t="shared" si="42"/>
        <v>355.92646428751198</v>
      </c>
      <c r="J83">
        <v>368.79211567300001</v>
      </c>
      <c r="K83" s="4">
        <f t="shared" si="43"/>
        <v>346.80238903319952</v>
      </c>
      <c r="L83">
        <v>357.53059292900002</v>
      </c>
      <c r="M83" s="4">
        <f t="shared" si="44"/>
        <v>336.21234975146535</v>
      </c>
      <c r="N83">
        <v>372.00234510000001</v>
      </c>
      <c r="O83" s="4">
        <f t="shared" si="45"/>
        <v>349.8212042066113</v>
      </c>
      <c r="P83">
        <v>292.15977381699997</v>
      </c>
      <c r="Q83" s="4">
        <f t="shared" si="46"/>
        <v>274.73935377993428</v>
      </c>
      <c r="R83">
        <v>354.276503091</v>
      </c>
      <c r="S83" s="4">
        <f t="shared" si="47"/>
        <v>333.15228940313705</v>
      </c>
      <c r="T83">
        <v>326.80212308199998</v>
      </c>
      <c r="U83" s="4">
        <f t="shared" si="48"/>
        <v>307.31610630865998</v>
      </c>
      <c r="V83">
        <v>304.62832737999997</v>
      </c>
      <c r="W83" s="4">
        <f t="shared" si="49"/>
        <v>286.46445304228109</v>
      </c>
      <c r="X83">
        <v>361.84385682800001</v>
      </c>
      <c r="Y83" s="4">
        <f t="shared" si="50"/>
        <v>340.26842948075705</v>
      </c>
      <c r="Z83">
        <v>310.27509307399998</v>
      </c>
      <c r="AA83" s="4">
        <f t="shared" si="51"/>
        <v>291.77452272589198</v>
      </c>
      <c r="AB83">
        <v>291.187411795</v>
      </c>
      <c r="AC83" s="4">
        <f t="shared" si="52"/>
        <v>273.82497015321451</v>
      </c>
      <c r="AD83">
        <v>365.43797969899998</v>
      </c>
      <c r="AE83" s="4">
        <f t="shared" si="53"/>
        <v>343.64824793448685</v>
      </c>
      <c r="AF83">
        <v>325.06052733400003</v>
      </c>
      <c r="AG83" s="4">
        <f t="shared" si="54"/>
        <v>305.6783555529687</v>
      </c>
      <c r="AH83">
        <v>298.92971563200001</v>
      </c>
      <c r="AI83" s="4">
        <f t="shared" si="55"/>
        <v>281.1056286954738</v>
      </c>
      <c r="AJ83">
        <v>371.20359897100002</v>
      </c>
      <c r="AK83" s="4">
        <f t="shared" si="56"/>
        <v>349.07008439142021</v>
      </c>
      <c r="AL83">
        <v>323.17238950400002</v>
      </c>
      <c r="AM83" s="4">
        <f t="shared" si="57"/>
        <v>303.90280048430077</v>
      </c>
      <c r="AN83">
        <v>308.82111836600001</v>
      </c>
      <c r="AO83" s="4">
        <f t="shared" si="58"/>
        <v>290.40724321828088</v>
      </c>
      <c r="AP83">
        <v>362.34137297000001</v>
      </c>
      <c r="AQ83" s="4">
        <f t="shared" si="59"/>
        <v>340.73628055266329</v>
      </c>
      <c r="AR83">
        <v>330.48308753100002</v>
      </c>
      <c r="AS83" s="4">
        <f t="shared" si="60"/>
        <v>310.77758829433071</v>
      </c>
      <c r="AT83">
        <v>341.01708174100003</v>
      </c>
      <c r="AU83" s="4">
        <f t="shared" si="61"/>
        <v>320.68347891084574</v>
      </c>
      <c r="AV83">
        <v>328.150210856</v>
      </c>
      <c r="AW83" s="4">
        <f t="shared" si="62"/>
        <v>308.58381253333482</v>
      </c>
      <c r="AX83">
        <v>321.58843136299998</v>
      </c>
      <c r="AY83" s="4">
        <f t="shared" si="63"/>
        <v>302.41328798096282</v>
      </c>
      <c r="AZ83">
        <v>343.38531781799998</v>
      </c>
      <c r="BA83" s="4">
        <f t="shared" si="64"/>
        <v>322.91050572187021</v>
      </c>
      <c r="BB83">
        <v>324.62609482400001</v>
      </c>
      <c r="BC83" s="4">
        <f t="shared" si="65"/>
        <v>305.26982666653424</v>
      </c>
      <c r="BD83">
        <v>333.59270716899999</v>
      </c>
      <c r="BE83" s="4">
        <f t="shared" si="66"/>
        <v>313.70179267292747</v>
      </c>
      <c r="BF83">
        <v>332.08994864599998</v>
      </c>
      <c r="BG83" s="4">
        <f t="shared" si="67"/>
        <v>312.28863815099481</v>
      </c>
      <c r="BH83">
        <v>328.39402077199998</v>
      </c>
      <c r="BI83" s="4">
        <f t="shared" si="68"/>
        <v>308.81308495469466</v>
      </c>
      <c r="BJ83">
        <v>338.4165759</v>
      </c>
      <c r="BK83" s="4">
        <f t="shared" si="69"/>
        <v>318.23803173335443</v>
      </c>
      <c r="BL83">
        <v>338.05106925000001</v>
      </c>
      <c r="BM83" s="4">
        <f t="shared" si="70"/>
        <v>317.89431890967813</v>
      </c>
      <c r="BN83">
        <v>341.42720271899998</v>
      </c>
      <c r="BO83" s="4">
        <f t="shared" si="71"/>
        <v>321.06914587312195</v>
      </c>
      <c r="BP83">
        <v>342.64158437200001</v>
      </c>
      <c r="BQ83" s="4">
        <f t="shared" si="72"/>
        <v>322.21111838435621</v>
      </c>
      <c r="BR83">
        <v>341.50056885599997</v>
      </c>
      <c r="BS83" s="4">
        <f t="shared" si="73"/>
        <v>321.13813745538317</v>
      </c>
      <c r="BT83">
        <v>307.22058536399999</v>
      </c>
      <c r="BU83" s="4">
        <f t="shared" si="74"/>
        <v>288.90214415235545</v>
      </c>
      <c r="BV83">
        <v>323.32839773000001</v>
      </c>
      <c r="BW83" s="4">
        <f t="shared" si="75"/>
        <v>304.04950650969096</v>
      </c>
      <c r="BX83">
        <v>316.73607300399999</v>
      </c>
      <c r="BY83" s="4">
        <f t="shared" si="76"/>
        <v>297.85025802497933</v>
      </c>
      <c r="BZ83">
        <v>338.11040642699999</v>
      </c>
      <c r="CA83" s="4">
        <f t="shared" si="77"/>
        <v>317.95011802757557</v>
      </c>
      <c r="CB83">
        <v>358.86355592500001</v>
      </c>
      <c r="CC83" s="4">
        <f t="shared" si="78"/>
        <v>337.46583303340066</v>
      </c>
      <c r="CD83">
        <v>352.91713236999999</v>
      </c>
      <c r="CE83" s="4">
        <f t="shared" si="79"/>
        <v>331.8739729923746</v>
      </c>
    </row>
    <row r="84" spans="1:83" x14ac:dyDescent="0.2">
      <c r="A84" s="2">
        <v>42086</v>
      </c>
      <c r="B84">
        <v>2021</v>
      </c>
      <c r="C84">
        <v>10</v>
      </c>
      <c r="D84">
        <v>216.91819572599999</v>
      </c>
      <c r="E84" s="4">
        <f t="shared" si="40"/>
        <v>147.15434663851434</v>
      </c>
      <c r="F84">
        <v>209.42594910400001</v>
      </c>
      <c r="G84" s="4">
        <f t="shared" si="41"/>
        <v>142.07170867527191</v>
      </c>
      <c r="H84">
        <v>223.303694729</v>
      </c>
      <c r="I84" s="4">
        <f t="shared" si="42"/>
        <v>151.48618210580855</v>
      </c>
      <c r="J84">
        <v>192.83838344</v>
      </c>
      <c r="K84" s="4">
        <f t="shared" si="43"/>
        <v>130.81893027445653</v>
      </c>
      <c r="L84">
        <v>200.31769585000001</v>
      </c>
      <c r="M84" s="4">
        <f t="shared" si="44"/>
        <v>135.89279384461605</v>
      </c>
      <c r="N84">
        <v>201.50233506699999</v>
      </c>
      <c r="O84" s="4">
        <f t="shared" si="45"/>
        <v>136.69643693871677</v>
      </c>
      <c r="P84">
        <v>162.54319621400001</v>
      </c>
      <c r="Q84" s="4">
        <f t="shared" si="46"/>
        <v>110.26708828806687</v>
      </c>
      <c r="R84">
        <v>179.06971551399999</v>
      </c>
      <c r="S84" s="4">
        <f t="shared" si="47"/>
        <v>121.47845366781681</v>
      </c>
      <c r="T84">
        <v>170.857256173</v>
      </c>
      <c r="U84" s="4">
        <f t="shared" si="48"/>
        <v>115.90723321498429</v>
      </c>
      <c r="V84">
        <v>163.81368065800001</v>
      </c>
      <c r="W84" s="4">
        <f t="shared" si="49"/>
        <v>111.12896761379837</v>
      </c>
      <c r="X84">
        <v>191.72759054900001</v>
      </c>
      <c r="Y84" s="4">
        <f t="shared" si="50"/>
        <v>130.06538352113444</v>
      </c>
      <c r="Z84">
        <v>171.09177757399999</v>
      </c>
      <c r="AA84" s="4">
        <f t="shared" si="51"/>
        <v>116.06632933608837</v>
      </c>
      <c r="AB84">
        <v>160.34557963399999</v>
      </c>
      <c r="AC84" s="4">
        <f t="shared" si="52"/>
        <v>108.77625516127672</v>
      </c>
      <c r="AD84">
        <v>205.48812389</v>
      </c>
      <c r="AE84" s="4">
        <f t="shared" si="53"/>
        <v>139.40034173621257</v>
      </c>
      <c r="AF84">
        <v>175.735236165</v>
      </c>
      <c r="AG84" s="4">
        <f t="shared" si="54"/>
        <v>119.2163883378916</v>
      </c>
      <c r="AH84">
        <v>171.157103546</v>
      </c>
      <c r="AI84" s="4">
        <f t="shared" si="55"/>
        <v>116.11064558487521</v>
      </c>
      <c r="AJ84">
        <v>194.302684779</v>
      </c>
      <c r="AK84" s="4">
        <f t="shared" si="56"/>
        <v>131.81229233936429</v>
      </c>
      <c r="AL84">
        <v>196.63573123</v>
      </c>
      <c r="AM84" s="4">
        <f t="shared" si="57"/>
        <v>133.39499924426531</v>
      </c>
      <c r="AN84">
        <v>191.31808329</v>
      </c>
      <c r="AO84" s="4">
        <f t="shared" si="58"/>
        <v>129.787579379623</v>
      </c>
      <c r="AP84">
        <v>221.47535133</v>
      </c>
      <c r="AQ84" s="4">
        <f t="shared" si="59"/>
        <v>150.24585887054369</v>
      </c>
      <c r="AR84">
        <v>226.296087255</v>
      </c>
      <c r="AS84" s="4">
        <f t="shared" si="60"/>
        <v>153.51618039883198</v>
      </c>
      <c r="AT84">
        <v>182.244960308</v>
      </c>
      <c r="AU84" s="4">
        <f t="shared" si="61"/>
        <v>123.63249644654535</v>
      </c>
      <c r="AV84">
        <v>182.31814670399999</v>
      </c>
      <c r="AW84" s="4">
        <f t="shared" si="62"/>
        <v>123.68214509980913</v>
      </c>
      <c r="AX84">
        <v>187.35188578399999</v>
      </c>
      <c r="AY84" s="4">
        <f t="shared" si="63"/>
        <v>127.0969650644829</v>
      </c>
      <c r="AZ84">
        <v>190.83604573700001</v>
      </c>
      <c r="BA84" s="4">
        <f t="shared" si="64"/>
        <v>129.46057167549964</v>
      </c>
      <c r="BB84">
        <v>158.72538853500001</v>
      </c>
      <c r="BC84" s="4">
        <f t="shared" si="65"/>
        <v>107.67713960849923</v>
      </c>
      <c r="BD84">
        <v>159.12835669399999</v>
      </c>
      <c r="BE84" s="4">
        <f t="shared" si="66"/>
        <v>107.95050771372112</v>
      </c>
      <c r="BF84">
        <v>158.39005518100001</v>
      </c>
      <c r="BG84" s="4">
        <f t="shared" si="67"/>
        <v>107.44965403289403</v>
      </c>
      <c r="BH84">
        <v>155.15609811499999</v>
      </c>
      <c r="BI84" s="4">
        <f t="shared" si="68"/>
        <v>105.25578164929114</v>
      </c>
      <c r="BJ84">
        <v>169.318618284</v>
      </c>
      <c r="BK84" s="4">
        <f t="shared" si="69"/>
        <v>114.86344224801968</v>
      </c>
      <c r="BL84">
        <v>163.49572824699999</v>
      </c>
      <c r="BM84" s="4">
        <f t="shared" si="70"/>
        <v>110.91327303296224</v>
      </c>
      <c r="BN84">
        <v>158.099755273</v>
      </c>
      <c r="BO84" s="4">
        <f t="shared" si="71"/>
        <v>107.25271853309427</v>
      </c>
      <c r="BP84">
        <v>169.089655631</v>
      </c>
      <c r="BQ84" s="4">
        <f t="shared" si="72"/>
        <v>114.70811710577392</v>
      </c>
      <c r="BR84">
        <v>177.799079656</v>
      </c>
      <c r="BS84" s="4">
        <f t="shared" si="73"/>
        <v>120.61647162489201</v>
      </c>
      <c r="BT84">
        <v>157.23128295199999</v>
      </c>
      <c r="BU84" s="4">
        <f t="shared" si="74"/>
        <v>106.66355875079633</v>
      </c>
      <c r="BV84">
        <v>166.80887078699999</v>
      </c>
      <c r="BW84" s="4">
        <f t="shared" si="75"/>
        <v>113.16086376255602</v>
      </c>
      <c r="BX84">
        <v>168.37296962100001</v>
      </c>
      <c r="BY84" s="4">
        <f t="shared" si="76"/>
        <v>114.22192708748828</v>
      </c>
      <c r="BZ84">
        <v>172.890359649</v>
      </c>
      <c r="CA84" s="4">
        <f t="shared" si="77"/>
        <v>117.28646289490095</v>
      </c>
      <c r="CB84">
        <v>184.53299236500001</v>
      </c>
      <c r="CC84" s="4">
        <f t="shared" si="78"/>
        <v>125.18466620025796</v>
      </c>
      <c r="CD84">
        <v>190.343455804</v>
      </c>
      <c r="CE84" s="4">
        <f t="shared" si="79"/>
        <v>129.12640538064952</v>
      </c>
    </row>
    <row r="85" spans="1:83" x14ac:dyDescent="0.2">
      <c r="A85" s="2">
        <v>42087</v>
      </c>
      <c r="B85">
        <v>2021</v>
      </c>
      <c r="C85">
        <v>11</v>
      </c>
      <c r="D85">
        <v>105.849334707</v>
      </c>
      <c r="E85" s="4">
        <f t="shared" si="40"/>
        <v>151.03345489414434</v>
      </c>
      <c r="F85">
        <v>96.710075853000006</v>
      </c>
      <c r="G85" s="4">
        <f t="shared" si="41"/>
        <v>137.99290207713895</v>
      </c>
      <c r="H85">
        <v>108.639683014</v>
      </c>
      <c r="I85" s="4">
        <f t="shared" si="42"/>
        <v>155.01492484226267</v>
      </c>
      <c r="J85">
        <v>78.350420470000003</v>
      </c>
      <c r="K85" s="4">
        <f t="shared" si="43"/>
        <v>111.7960233642396</v>
      </c>
      <c r="L85">
        <v>132.175390244</v>
      </c>
      <c r="M85" s="4">
        <f t="shared" si="44"/>
        <v>188.5973671520197</v>
      </c>
      <c r="N85">
        <v>79.047342771000004</v>
      </c>
      <c r="O85" s="4">
        <f t="shared" si="45"/>
        <v>112.7904423013465</v>
      </c>
      <c r="P85">
        <v>64.874164105999995</v>
      </c>
      <c r="Q85" s="4">
        <f t="shared" si="46"/>
        <v>92.567130113959038</v>
      </c>
      <c r="R85">
        <v>70.561635245999994</v>
      </c>
      <c r="S85" s="4">
        <f t="shared" si="47"/>
        <v>100.68242359466649</v>
      </c>
      <c r="T85">
        <v>81.318828818</v>
      </c>
      <c r="U85" s="4">
        <f t="shared" si="48"/>
        <v>116.03156220419615</v>
      </c>
      <c r="V85">
        <v>69.034275284000003</v>
      </c>
      <c r="W85" s="4">
        <f t="shared" si="49"/>
        <v>98.503076387937256</v>
      </c>
      <c r="X85">
        <v>74.123872293999995</v>
      </c>
      <c r="Y85" s="4">
        <f t="shared" si="50"/>
        <v>105.7652799961794</v>
      </c>
      <c r="Z85">
        <v>86.305394172000007</v>
      </c>
      <c r="AA85" s="4">
        <f t="shared" si="51"/>
        <v>123.14675282447557</v>
      </c>
      <c r="AB85">
        <v>87.767588599000007</v>
      </c>
      <c r="AC85" s="4">
        <f t="shared" si="52"/>
        <v>125.23311715211238</v>
      </c>
      <c r="AD85">
        <v>83.803871634000004</v>
      </c>
      <c r="AE85" s="4">
        <f t="shared" si="53"/>
        <v>119.57740028715892</v>
      </c>
      <c r="AF85">
        <v>90.192933546999996</v>
      </c>
      <c r="AG85" s="4">
        <f t="shared" si="54"/>
        <v>128.69377401708437</v>
      </c>
      <c r="AH85">
        <v>65.404888142999994</v>
      </c>
      <c r="AI85" s="4">
        <f t="shared" si="55"/>
        <v>93.324405397033402</v>
      </c>
      <c r="AJ85">
        <v>96.684670451000002</v>
      </c>
      <c r="AK85" s="4">
        <f t="shared" si="56"/>
        <v>137.95665181966064</v>
      </c>
      <c r="AL85">
        <v>99.563779828999998</v>
      </c>
      <c r="AM85" s="4">
        <f t="shared" si="57"/>
        <v>142.06477245717952</v>
      </c>
      <c r="AN85">
        <v>62.355677129999997</v>
      </c>
      <c r="AO85" s="4">
        <f t="shared" si="58"/>
        <v>88.973571494586523</v>
      </c>
      <c r="AP85">
        <v>96.320434579999997</v>
      </c>
      <c r="AQ85" s="4">
        <f t="shared" si="59"/>
        <v>137.4369338436735</v>
      </c>
      <c r="AR85">
        <v>87.726946361000003</v>
      </c>
      <c r="AS85" s="4">
        <f t="shared" si="60"/>
        <v>125.17512587954782</v>
      </c>
      <c r="AT85">
        <v>55.753757481999997</v>
      </c>
      <c r="AU85" s="4">
        <f t="shared" si="61"/>
        <v>79.553477016609307</v>
      </c>
      <c r="AV85">
        <v>55.930573948000003</v>
      </c>
      <c r="AW85" s="4">
        <f t="shared" si="62"/>
        <v>79.805771486065126</v>
      </c>
      <c r="AX85">
        <v>68.599592091000005</v>
      </c>
      <c r="AY85" s="4">
        <f t="shared" si="63"/>
        <v>97.88283909872861</v>
      </c>
      <c r="AZ85">
        <v>66.371208663999994</v>
      </c>
      <c r="BA85" s="4">
        <f t="shared" si="64"/>
        <v>94.703221118697911</v>
      </c>
      <c r="BB85">
        <v>49.363786707000003</v>
      </c>
      <c r="BC85" s="4">
        <f t="shared" si="65"/>
        <v>70.435806456918584</v>
      </c>
      <c r="BD85">
        <v>54.270386698000003</v>
      </c>
      <c r="BE85" s="4">
        <f t="shared" si="66"/>
        <v>77.436896737510594</v>
      </c>
      <c r="BF85">
        <v>47.683264135000002</v>
      </c>
      <c r="BG85" s="4">
        <f t="shared" si="67"/>
        <v>68.037915806218365</v>
      </c>
      <c r="BH85">
        <v>51.010650159000001</v>
      </c>
      <c r="BI85" s="4">
        <f t="shared" si="68"/>
        <v>72.785669850797888</v>
      </c>
      <c r="BJ85">
        <v>68.137920851999993</v>
      </c>
      <c r="BK85" s="4">
        <f t="shared" si="69"/>
        <v>97.224093321587503</v>
      </c>
      <c r="BL85">
        <v>57.769444937999999</v>
      </c>
      <c r="BM85" s="4">
        <f t="shared" si="70"/>
        <v>82.429605065114984</v>
      </c>
      <c r="BN85">
        <v>61.848390565999999</v>
      </c>
      <c r="BO85" s="4">
        <f t="shared" si="71"/>
        <v>88.24973848614691</v>
      </c>
      <c r="BP85">
        <v>55.997778179999997</v>
      </c>
      <c r="BQ85" s="4">
        <f t="shared" si="72"/>
        <v>79.901663324880758</v>
      </c>
      <c r="BR85">
        <v>53.894018889999998</v>
      </c>
      <c r="BS85" s="4">
        <f t="shared" si="73"/>
        <v>76.899868039970585</v>
      </c>
      <c r="BT85">
        <v>60.290328017999997</v>
      </c>
      <c r="BU85" s="4">
        <f t="shared" si="74"/>
        <v>86.026582618261685</v>
      </c>
      <c r="BV85">
        <v>78.751492724999991</v>
      </c>
      <c r="BW85" s="4">
        <f t="shared" si="75"/>
        <v>112.36830214617537</v>
      </c>
      <c r="BX85">
        <v>82.181884767</v>
      </c>
      <c r="BY85" s="4">
        <f t="shared" si="76"/>
        <v>117.26303259657259</v>
      </c>
      <c r="BZ85">
        <v>64.787461762000007</v>
      </c>
      <c r="CA85" s="4">
        <f t="shared" si="77"/>
        <v>92.44341696452841</v>
      </c>
      <c r="CB85">
        <v>72.503749381999995</v>
      </c>
      <c r="CC85" s="4">
        <f t="shared" si="78"/>
        <v>103.45357193084435</v>
      </c>
      <c r="CD85">
        <v>89.194413185999991</v>
      </c>
      <c r="CE85" s="4">
        <f t="shared" si="79"/>
        <v>127.26901324441221</v>
      </c>
    </row>
    <row r="86" spans="1:83" x14ac:dyDescent="0.2">
      <c r="A86" s="2">
        <v>42088</v>
      </c>
      <c r="B86">
        <v>2021</v>
      </c>
      <c r="C86">
        <v>12</v>
      </c>
      <c r="D86">
        <v>51.632673255999997</v>
      </c>
      <c r="E86" s="4">
        <f t="shared" si="40"/>
        <v>6.1345008632411666</v>
      </c>
      <c r="F86">
        <v>55.218348022000001</v>
      </c>
      <c r="G86" s="4">
        <f t="shared" si="41"/>
        <v>6.560516476228492</v>
      </c>
      <c r="H86">
        <v>64.861674311000002</v>
      </c>
      <c r="I86" s="4">
        <f t="shared" si="42"/>
        <v>7.7062443596382932</v>
      </c>
      <c r="J86">
        <v>54.000217919000001</v>
      </c>
      <c r="K86" s="4">
        <f t="shared" si="43"/>
        <v>6.4157898971621021</v>
      </c>
      <c r="L86">
        <v>80.110527989999994</v>
      </c>
      <c r="M86" s="4">
        <f t="shared" si="44"/>
        <v>9.5179674442336353</v>
      </c>
      <c r="N86">
        <v>45.084238050000003</v>
      </c>
      <c r="O86" s="4">
        <f t="shared" si="45"/>
        <v>5.3564783652598589</v>
      </c>
      <c r="P86">
        <v>20.291521311</v>
      </c>
      <c r="Q86" s="4">
        <f t="shared" si="46"/>
        <v>2.4108446677093363</v>
      </c>
      <c r="R86">
        <v>39.235627178000001</v>
      </c>
      <c r="S86" s="4">
        <f t="shared" si="47"/>
        <v>4.6616023075132951</v>
      </c>
      <c r="T86">
        <v>34.401466368000001</v>
      </c>
      <c r="U86" s="4">
        <f t="shared" si="48"/>
        <v>4.0872535126144074</v>
      </c>
      <c r="V86">
        <v>26.025863650000002</v>
      </c>
      <c r="W86" s="4">
        <f t="shared" si="49"/>
        <v>3.0921444302512278</v>
      </c>
      <c r="X86">
        <v>48.750917438000002</v>
      </c>
      <c r="Y86" s="4">
        <f t="shared" si="50"/>
        <v>5.7921181733982205</v>
      </c>
      <c r="Z86">
        <v>42.630336286000002</v>
      </c>
      <c r="AA86" s="4">
        <f t="shared" si="51"/>
        <v>5.0649292057784105</v>
      </c>
      <c r="AB86">
        <v>26.537528036000001</v>
      </c>
      <c r="AC86" s="4">
        <f t="shared" si="52"/>
        <v>3.1529355034161641</v>
      </c>
      <c r="AD86">
        <v>58.480572228000007</v>
      </c>
      <c r="AE86" s="4">
        <f t="shared" si="53"/>
        <v>6.9481027843898211</v>
      </c>
      <c r="AF86">
        <v>43.010766034</v>
      </c>
      <c r="AG86" s="4">
        <f t="shared" si="54"/>
        <v>5.1101282332612152</v>
      </c>
      <c r="AH86">
        <v>30.686242583999999</v>
      </c>
      <c r="AI86" s="4">
        <f t="shared" si="55"/>
        <v>3.645846123206506</v>
      </c>
      <c r="AJ86">
        <v>43.876766680000003</v>
      </c>
      <c r="AK86" s="4">
        <f t="shared" si="56"/>
        <v>5.2130181549996193</v>
      </c>
      <c r="AL86">
        <v>35.908036234000001</v>
      </c>
      <c r="AM86" s="4">
        <f t="shared" si="57"/>
        <v>4.2662497481509076</v>
      </c>
      <c r="AN86">
        <v>30.522477625000001</v>
      </c>
      <c r="AO86" s="4">
        <f t="shared" si="58"/>
        <v>3.6263891356247639</v>
      </c>
      <c r="AP86">
        <v>51.582359787000001</v>
      </c>
      <c r="AQ86" s="4">
        <f t="shared" si="59"/>
        <v>6.1285230976220442</v>
      </c>
      <c r="AR86">
        <v>27.943577771000001</v>
      </c>
      <c r="AS86" s="4">
        <f t="shared" si="60"/>
        <v>3.319988897501569</v>
      </c>
      <c r="AT86">
        <v>5.059400976</v>
      </c>
      <c r="AU86" s="4">
        <f t="shared" si="61"/>
        <v>0.60110967915356861</v>
      </c>
      <c r="AV86">
        <v>14.70225239</v>
      </c>
      <c r="AW86" s="4">
        <f t="shared" si="62"/>
        <v>1.7467811424535107</v>
      </c>
      <c r="AX86">
        <v>13.268852232</v>
      </c>
      <c r="AY86" s="4">
        <f t="shared" si="63"/>
        <v>1.5764782324526383</v>
      </c>
      <c r="AZ86">
        <v>12.326059344000001</v>
      </c>
      <c r="BA86" s="4">
        <f t="shared" si="64"/>
        <v>1.4644645903036422</v>
      </c>
      <c r="BB86">
        <v>18.049072260999999</v>
      </c>
      <c r="BC86" s="4">
        <f t="shared" si="65"/>
        <v>2.1444182991811331</v>
      </c>
      <c r="BD86">
        <v>21.193032268</v>
      </c>
      <c r="BE86" s="4">
        <f t="shared" si="66"/>
        <v>2.5179535852840274</v>
      </c>
      <c r="BF86">
        <v>21.504885676000001</v>
      </c>
      <c r="BG86" s="4">
        <f t="shared" si="67"/>
        <v>2.5550050273253011</v>
      </c>
      <c r="BH86">
        <v>15.181119202</v>
      </c>
      <c r="BI86" s="4">
        <f t="shared" si="68"/>
        <v>1.8036755212710975</v>
      </c>
      <c r="BJ86">
        <v>10.377904535000001</v>
      </c>
      <c r="BK86" s="4">
        <f t="shared" si="69"/>
        <v>1.2330034513793824</v>
      </c>
      <c r="BL86">
        <v>8.2423496249999992</v>
      </c>
      <c r="BM86" s="4">
        <f t="shared" si="70"/>
        <v>0.97927722314517862</v>
      </c>
      <c r="BN86">
        <v>11.688094492999999</v>
      </c>
      <c r="BO86" s="4">
        <f t="shared" si="71"/>
        <v>1.3886677027442274</v>
      </c>
      <c r="BP86">
        <v>10.94021034</v>
      </c>
      <c r="BQ86" s="4">
        <f t="shared" si="72"/>
        <v>1.299811254048735</v>
      </c>
      <c r="BR86">
        <v>0</v>
      </c>
      <c r="BS86" s="4">
        <f t="shared" si="73"/>
        <v>0</v>
      </c>
      <c r="BT86">
        <v>23.139307258999999</v>
      </c>
      <c r="BU86" s="4">
        <f t="shared" si="74"/>
        <v>2.7491913821960194</v>
      </c>
      <c r="BV86">
        <v>11.757467509</v>
      </c>
      <c r="BW86" s="4">
        <f t="shared" si="75"/>
        <v>1.3969099416154869</v>
      </c>
      <c r="BX86">
        <v>9.0696144099999998</v>
      </c>
      <c r="BY86" s="4">
        <f t="shared" si="76"/>
        <v>1.0775649200178521</v>
      </c>
      <c r="BZ86">
        <v>1.8089235130000001</v>
      </c>
      <c r="CA86" s="4">
        <f t="shared" si="77"/>
        <v>0.21491900675017309</v>
      </c>
      <c r="CB86">
        <v>0</v>
      </c>
      <c r="CC86" s="4">
        <f t="shared" si="78"/>
        <v>0</v>
      </c>
      <c r="CD86">
        <v>0</v>
      </c>
      <c r="CE86" s="4">
        <f t="shared" si="79"/>
        <v>0</v>
      </c>
    </row>
    <row r="87" spans="1:83" x14ac:dyDescent="0.2">
      <c r="A87" s="2">
        <v>42089</v>
      </c>
      <c r="B87">
        <v>2022</v>
      </c>
      <c r="C87">
        <v>1</v>
      </c>
      <c r="D87">
        <v>42.815814969999998</v>
      </c>
      <c r="E87" s="4">
        <f t="shared" si="40"/>
        <v>95.712553215907207</v>
      </c>
      <c r="F87">
        <v>52.911075590000003</v>
      </c>
      <c r="G87" s="4">
        <f t="shared" si="41"/>
        <v>118.27998933728493</v>
      </c>
      <c r="H87">
        <v>81.005050659999995</v>
      </c>
      <c r="I87" s="4">
        <f t="shared" si="42"/>
        <v>181.08262630257039</v>
      </c>
      <c r="J87">
        <v>45.223213200000004</v>
      </c>
      <c r="K87" s="4">
        <f t="shared" si="43"/>
        <v>101.09416819537694</v>
      </c>
      <c r="L87">
        <v>60.189945219999998</v>
      </c>
      <c r="M87" s="4">
        <f t="shared" si="44"/>
        <v>134.55152819042067</v>
      </c>
      <c r="N87">
        <v>38.773414610000003</v>
      </c>
      <c r="O87" s="4">
        <f t="shared" si="45"/>
        <v>86.675975029842093</v>
      </c>
      <c r="P87">
        <v>14.81753159</v>
      </c>
      <c r="Q87" s="4">
        <f t="shared" si="46"/>
        <v>33.123830104132693</v>
      </c>
      <c r="R87">
        <v>37.502273559999999</v>
      </c>
      <c r="S87" s="4">
        <f t="shared" si="47"/>
        <v>83.834404561586467</v>
      </c>
      <c r="T87">
        <v>26.466291429999998</v>
      </c>
      <c r="U87" s="4">
        <f t="shared" si="48"/>
        <v>59.164033866843475</v>
      </c>
      <c r="V87">
        <v>16.207977289999999</v>
      </c>
      <c r="W87" s="4">
        <f t="shared" si="49"/>
        <v>36.232099984043359</v>
      </c>
      <c r="X87">
        <v>36.744224549999998</v>
      </c>
      <c r="Y87" s="4">
        <f t="shared" si="50"/>
        <v>82.139824970827107</v>
      </c>
      <c r="Z87">
        <v>19.80597878</v>
      </c>
      <c r="AA87" s="4">
        <f t="shared" si="51"/>
        <v>44.275247342649827</v>
      </c>
      <c r="AB87">
        <v>5.5110251909999999</v>
      </c>
      <c r="AC87" s="4">
        <f t="shared" si="52"/>
        <v>12.319613494158201</v>
      </c>
      <c r="AD87">
        <v>35.059719090000002</v>
      </c>
      <c r="AE87" s="4">
        <f t="shared" si="53"/>
        <v>78.374199614969584</v>
      </c>
      <c r="AF87">
        <v>20.090705870000001</v>
      </c>
      <c r="AG87" s="4">
        <f t="shared" si="54"/>
        <v>44.911740114601734</v>
      </c>
      <c r="AH87">
        <v>0</v>
      </c>
      <c r="AI87" s="4">
        <f t="shared" si="55"/>
        <v>0</v>
      </c>
      <c r="AJ87">
        <v>40.208747860000003</v>
      </c>
      <c r="AK87" s="4">
        <f t="shared" si="56"/>
        <v>89.884588720120902</v>
      </c>
      <c r="AL87">
        <v>36.429157259999997</v>
      </c>
      <c r="AM87" s="4">
        <f t="shared" si="57"/>
        <v>81.435508241556718</v>
      </c>
      <c r="AN87">
        <v>21.133693699999998</v>
      </c>
      <c r="AO87" s="4">
        <f t="shared" si="58"/>
        <v>47.243285788843011</v>
      </c>
      <c r="AP87">
        <v>59.430995940000003</v>
      </c>
      <c r="AQ87" s="4">
        <f t="shared" si="59"/>
        <v>132.85493609235894</v>
      </c>
      <c r="AR87">
        <v>55.52768708</v>
      </c>
      <c r="AS87" s="4">
        <f t="shared" si="60"/>
        <v>124.12928980388723</v>
      </c>
      <c r="AT87">
        <v>8.4864978799999999</v>
      </c>
      <c r="AU87" s="4">
        <f t="shared" si="61"/>
        <v>18.971129722167326</v>
      </c>
      <c r="AV87">
        <v>7.5087070459999996</v>
      </c>
      <c r="AW87" s="4">
        <f t="shared" si="62"/>
        <v>16.785328580724023</v>
      </c>
      <c r="AX87">
        <v>15.839701652</v>
      </c>
      <c r="AY87" s="4">
        <f t="shared" si="63"/>
        <v>35.408838728245826</v>
      </c>
      <c r="AZ87">
        <v>14.632813454000001</v>
      </c>
      <c r="BA87" s="4">
        <f t="shared" si="64"/>
        <v>32.710902207414371</v>
      </c>
      <c r="BB87">
        <v>7.9793634410000003</v>
      </c>
      <c r="BC87" s="4">
        <f t="shared" si="65"/>
        <v>17.83745675542789</v>
      </c>
      <c r="BD87">
        <v>7.2892394070000002</v>
      </c>
      <c r="BE87" s="4">
        <f t="shared" si="66"/>
        <v>16.294719956511795</v>
      </c>
      <c r="BF87">
        <v>5.4545638570000001</v>
      </c>
      <c r="BG87" s="4">
        <f t="shared" si="67"/>
        <v>12.193397084663191</v>
      </c>
      <c r="BH87">
        <v>5.1273798950000007</v>
      </c>
      <c r="BI87" s="4">
        <f t="shared" si="68"/>
        <v>11.461994158051649</v>
      </c>
      <c r="BJ87">
        <v>7.5844063759999996</v>
      </c>
      <c r="BK87" s="4">
        <f t="shared" si="69"/>
        <v>16.954550541256832</v>
      </c>
      <c r="BL87">
        <v>8.1970100400000003</v>
      </c>
      <c r="BM87" s="4">
        <f t="shared" si="70"/>
        <v>18.323994538339292</v>
      </c>
      <c r="BN87">
        <v>7.4900188439999997</v>
      </c>
      <c r="BO87" s="4">
        <f t="shared" si="71"/>
        <v>16.74355206590846</v>
      </c>
      <c r="BP87">
        <v>10.530809400000001</v>
      </c>
      <c r="BQ87" s="4">
        <f t="shared" si="72"/>
        <v>23.541083027622118</v>
      </c>
      <c r="BR87">
        <v>6.4517307280000002</v>
      </c>
      <c r="BS87" s="4">
        <f t="shared" si="73"/>
        <v>14.422512360703147</v>
      </c>
      <c r="BT87">
        <v>12.3064518</v>
      </c>
      <c r="BU87" s="4">
        <f t="shared" si="74"/>
        <v>27.510440327524076</v>
      </c>
      <c r="BV87">
        <v>14.648683549999999</v>
      </c>
      <c r="BW87" s="4">
        <f t="shared" si="75"/>
        <v>32.746378991145001</v>
      </c>
      <c r="BX87">
        <v>6.1828451160000002</v>
      </c>
      <c r="BY87" s="4">
        <f t="shared" si="76"/>
        <v>13.821432398414114</v>
      </c>
      <c r="BZ87">
        <v>6.4168367379999998</v>
      </c>
      <c r="CA87" s="4">
        <f t="shared" si="77"/>
        <v>14.344508639948783</v>
      </c>
      <c r="CB87">
        <v>8.2856645580000006</v>
      </c>
      <c r="CC87" s="4">
        <f t="shared" si="78"/>
        <v>18.522177155623375</v>
      </c>
      <c r="CD87">
        <v>14.30146313</v>
      </c>
      <c r="CE87" s="4">
        <f t="shared" si="79"/>
        <v>31.97018559274337</v>
      </c>
    </row>
    <row r="88" spans="1:83" x14ac:dyDescent="0.2">
      <c r="A88" s="2">
        <v>42090</v>
      </c>
      <c r="B88">
        <v>2022</v>
      </c>
      <c r="C88">
        <v>2</v>
      </c>
      <c r="D88">
        <v>30.590169905</v>
      </c>
      <c r="E88" s="4">
        <f t="shared" si="40"/>
        <v>7.7042119881180922</v>
      </c>
      <c r="F88">
        <v>30.97957611</v>
      </c>
      <c r="G88" s="4">
        <f t="shared" si="41"/>
        <v>7.8022849299201651</v>
      </c>
      <c r="H88">
        <v>37.281894680000001</v>
      </c>
      <c r="I88" s="4">
        <f t="shared" si="42"/>
        <v>9.3895398693573267</v>
      </c>
      <c r="J88">
        <v>32.314599514999998</v>
      </c>
      <c r="K88" s="4">
        <f t="shared" si="43"/>
        <v>8.138513965363936</v>
      </c>
      <c r="L88">
        <v>43.509839055999997</v>
      </c>
      <c r="M88" s="4">
        <f t="shared" si="44"/>
        <v>10.958063479128752</v>
      </c>
      <c r="N88">
        <v>30.758164887</v>
      </c>
      <c r="O88" s="4">
        <f t="shared" si="45"/>
        <v>7.7465219510338761</v>
      </c>
      <c r="P88">
        <v>11.362420559</v>
      </c>
      <c r="Q88" s="4">
        <f t="shared" si="46"/>
        <v>2.8616544777797723</v>
      </c>
      <c r="R88">
        <v>23.589500902000001</v>
      </c>
      <c r="S88" s="4">
        <f t="shared" si="47"/>
        <v>5.9410757183537442</v>
      </c>
      <c r="T88">
        <v>22.869555945999998</v>
      </c>
      <c r="U88" s="4">
        <f t="shared" si="48"/>
        <v>5.7597557525599692</v>
      </c>
      <c r="V88">
        <v>13.49152398</v>
      </c>
      <c r="W88" s="4">
        <f t="shared" si="49"/>
        <v>3.3978745821777649</v>
      </c>
      <c r="X88">
        <v>21.210217478000001</v>
      </c>
      <c r="Y88" s="4">
        <f t="shared" si="50"/>
        <v>5.3418471447551603</v>
      </c>
      <c r="Z88">
        <v>14.483266588999999</v>
      </c>
      <c r="AA88" s="4">
        <f t="shared" si="51"/>
        <v>3.6476474772324097</v>
      </c>
      <c r="AB88">
        <v>2.7062616350000002</v>
      </c>
      <c r="AC88" s="4">
        <f t="shared" si="52"/>
        <v>0.68157886654768718</v>
      </c>
      <c r="AD88">
        <v>22.424444676</v>
      </c>
      <c r="AE88" s="4">
        <f t="shared" si="53"/>
        <v>5.6476533486494906</v>
      </c>
      <c r="AF88">
        <v>12.55928421</v>
      </c>
      <c r="AG88" s="4">
        <f t="shared" si="54"/>
        <v>3.1630876282595874</v>
      </c>
      <c r="AH88">
        <v>1.0956335070000001</v>
      </c>
      <c r="AI88" s="4">
        <f t="shared" si="55"/>
        <v>0.27593808159377298</v>
      </c>
      <c r="AJ88">
        <v>23.25655746</v>
      </c>
      <c r="AK88" s="4">
        <f t="shared" si="56"/>
        <v>5.8572230668258936</v>
      </c>
      <c r="AL88">
        <v>18.475770950000001</v>
      </c>
      <c r="AM88" s="4">
        <f t="shared" si="57"/>
        <v>4.6531698413171663</v>
      </c>
      <c r="AN88">
        <v>10.41694736</v>
      </c>
      <c r="AO88" s="4">
        <f t="shared" si="58"/>
        <v>2.6235346511556785</v>
      </c>
      <c r="AP88">
        <v>25.52440262</v>
      </c>
      <c r="AQ88" s="4">
        <f t="shared" si="59"/>
        <v>6.4283856305883056</v>
      </c>
      <c r="AR88">
        <v>24.33035469</v>
      </c>
      <c r="AS88" s="4">
        <f t="shared" si="60"/>
        <v>6.1276616265941346</v>
      </c>
      <c r="AT88">
        <v>5.3736923929999998</v>
      </c>
      <c r="AU88" s="4">
        <f t="shared" si="61"/>
        <v>1.3533780780943852</v>
      </c>
      <c r="AV88">
        <v>0</v>
      </c>
      <c r="AW88" s="4">
        <f t="shared" si="62"/>
        <v>0</v>
      </c>
      <c r="AX88">
        <v>7.0914421079999999</v>
      </c>
      <c r="AY88" s="4">
        <f t="shared" si="63"/>
        <v>1.7859977068178705</v>
      </c>
      <c r="AZ88">
        <v>5.461309075</v>
      </c>
      <c r="BA88" s="4">
        <f t="shared" si="64"/>
        <v>1.3754445619981963</v>
      </c>
      <c r="BB88">
        <v>11.431922910000001</v>
      </c>
      <c r="BC88" s="4">
        <f t="shared" si="65"/>
        <v>2.8791588214117136</v>
      </c>
      <c r="BD88">
        <v>9.466833115</v>
      </c>
      <c r="BE88" s="4">
        <f t="shared" si="66"/>
        <v>2.384245965308454</v>
      </c>
      <c r="BF88">
        <v>11.77022648</v>
      </c>
      <c r="BG88" s="4">
        <f t="shared" si="67"/>
        <v>2.964361434790828</v>
      </c>
      <c r="BH88">
        <v>9.8252143860000007</v>
      </c>
      <c r="BI88" s="4">
        <f t="shared" si="68"/>
        <v>2.4745051986808031</v>
      </c>
      <c r="BJ88">
        <v>9.4179906849999995</v>
      </c>
      <c r="BK88" s="4">
        <f t="shared" si="69"/>
        <v>2.371944875255557</v>
      </c>
      <c r="BL88">
        <v>10.04345417</v>
      </c>
      <c r="BM88" s="4">
        <f t="shared" si="70"/>
        <v>2.5294694425996407</v>
      </c>
      <c r="BN88">
        <v>13.69943237</v>
      </c>
      <c r="BO88" s="4">
        <f t="shared" si="71"/>
        <v>3.4502368382764645</v>
      </c>
      <c r="BP88">
        <v>13.899866100000001</v>
      </c>
      <c r="BQ88" s="4">
        <f t="shared" si="72"/>
        <v>3.5007165822688906</v>
      </c>
      <c r="BR88">
        <v>6.7848768230000003</v>
      </c>
      <c r="BS88" s="4">
        <f t="shared" si="73"/>
        <v>1.7087884611297062</v>
      </c>
      <c r="BT88">
        <v>10.02045918</v>
      </c>
      <c r="BU88" s="4">
        <f t="shared" si="74"/>
        <v>2.523678095961984</v>
      </c>
      <c r="BV88">
        <v>10.396628379999999</v>
      </c>
      <c r="BW88" s="4">
        <f t="shared" si="75"/>
        <v>2.6184172644334573</v>
      </c>
      <c r="BX88">
        <v>4.4859323499999997</v>
      </c>
      <c r="BY88" s="4">
        <f t="shared" si="76"/>
        <v>1.129793456397501</v>
      </c>
      <c r="BZ88">
        <v>6.6619696619999997</v>
      </c>
      <c r="CA88" s="4">
        <f t="shared" si="77"/>
        <v>1.6778339804536444</v>
      </c>
      <c r="CB88">
        <v>6.0441913600000001</v>
      </c>
      <c r="CC88" s="4">
        <f t="shared" si="78"/>
        <v>1.5222449459681024</v>
      </c>
      <c r="CD88">
        <v>11.536571500000001</v>
      </c>
      <c r="CE88" s="4">
        <f t="shared" si="79"/>
        <v>2.9055148346055431</v>
      </c>
    </row>
    <row r="89" spans="1:83" x14ac:dyDescent="0.2">
      <c r="A89" s="2">
        <v>42091</v>
      </c>
      <c r="B89">
        <v>2022</v>
      </c>
      <c r="C89">
        <v>3</v>
      </c>
      <c r="D89">
        <v>79.525794977999993</v>
      </c>
      <c r="E89" s="4">
        <f t="shared" si="40"/>
        <v>7.1376384047039947</v>
      </c>
      <c r="F89">
        <v>77.064935685000009</v>
      </c>
      <c r="G89" s="4">
        <f t="shared" si="41"/>
        <v>6.9167701467614178</v>
      </c>
      <c r="H89">
        <v>80.221763608000003</v>
      </c>
      <c r="I89" s="4">
        <f t="shared" si="42"/>
        <v>7.2001033247130497</v>
      </c>
      <c r="J89">
        <v>76.145318986000007</v>
      </c>
      <c r="K89" s="4">
        <f t="shared" si="43"/>
        <v>6.8342322548710523</v>
      </c>
      <c r="L89">
        <v>94.636808395999992</v>
      </c>
      <c r="M89" s="4">
        <f t="shared" si="44"/>
        <v>8.4938895397747185</v>
      </c>
      <c r="N89">
        <v>81.944583891999997</v>
      </c>
      <c r="O89" s="4">
        <f t="shared" si="45"/>
        <v>7.3547307412246763</v>
      </c>
      <c r="P89">
        <v>64.022565839999999</v>
      </c>
      <c r="Q89" s="4">
        <f t="shared" si="46"/>
        <v>5.7461849307346151</v>
      </c>
      <c r="R89">
        <v>73.256862638000001</v>
      </c>
      <c r="S89" s="4">
        <f t="shared" si="47"/>
        <v>6.5749860949867118</v>
      </c>
      <c r="T89">
        <v>71.67113114</v>
      </c>
      <c r="U89" s="4">
        <f t="shared" si="48"/>
        <v>6.4326627388630193</v>
      </c>
      <c r="V89">
        <v>73.379470825999988</v>
      </c>
      <c r="W89" s="4">
        <f t="shared" si="49"/>
        <v>6.5859904855953433</v>
      </c>
      <c r="X89">
        <v>66.618382448000006</v>
      </c>
      <c r="Y89" s="4">
        <f t="shared" si="50"/>
        <v>5.9791659442278453</v>
      </c>
      <c r="Z89">
        <v>54.756444930000001</v>
      </c>
      <c r="AA89" s="4">
        <f t="shared" si="51"/>
        <v>4.9145274730739503</v>
      </c>
      <c r="AB89">
        <v>44.152460097999999</v>
      </c>
      <c r="AC89" s="4">
        <f t="shared" si="52"/>
        <v>3.9627933923178884</v>
      </c>
      <c r="AD89">
        <v>61.878072738</v>
      </c>
      <c r="AE89" s="4">
        <f t="shared" si="53"/>
        <v>5.5537113273246472</v>
      </c>
      <c r="AF89">
        <v>50.014893057000002</v>
      </c>
      <c r="AG89" s="4">
        <f t="shared" si="54"/>
        <v>4.4889613689440457</v>
      </c>
      <c r="AH89">
        <v>32.061994310000003</v>
      </c>
      <c r="AI89" s="4">
        <f t="shared" si="55"/>
        <v>2.8776439390736699</v>
      </c>
      <c r="AJ89">
        <v>64.942291736000001</v>
      </c>
      <c r="AK89" s="4">
        <f t="shared" si="56"/>
        <v>5.8287326233280234</v>
      </c>
      <c r="AL89">
        <v>56.776714331000001</v>
      </c>
      <c r="AM89" s="4">
        <f t="shared" si="57"/>
        <v>5.0958516895550945</v>
      </c>
      <c r="AN89">
        <v>46.016880514999997</v>
      </c>
      <c r="AO89" s="4">
        <f t="shared" si="58"/>
        <v>4.1301297738601894</v>
      </c>
      <c r="AP89">
        <v>72.175094604999998</v>
      </c>
      <c r="AQ89" s="4">
        <f t="shared" si="59"/>
        <v>6.4778947165294714</v>
      </c>
      <c r="AR89">
        <v>78.806782725999994</v>
      </c>
      <c r="AS89" s="4">
        <f t="shared" si="60"/>
        <v>7.0731052621588919</v>
      </c>
      <c r="AT89">
        <v>59.060417170999997</v>
      </c>
      <c r="AU89" s="4">
        <f t="shared" si="61"/>
        <v>5.3008197140838007</v>
      </c>
      <c r="AV89">
        <v>50.173758268999997</v>
      </c>
      <c r="AW89" s="4">
        <f t="shared" si="62"/>
        <v>4.5032199178671508</v>
      </c>
      <c r="AX89">
        <v>51.806699512999998</v>
      </c>
      <c r="AY89" s="4">
        <f t="shared" si="63"/>
        <v>4.6497804664165097</v>
      </c>
      <c r="AZ89">
        <v>56.789853570000012</v>
      </c>
      <c r="BA89" s="4">
        <f t="shared" si="64"/>
        <v>5.0970309690193361</v>
      </c>
      <c r="BB89">
        <v>74.644989009999989</v>
      </c>
      <c r="BC89" s="4">
        <f t="shared" si="65"/>
        <v>6.699573898303993</v>
      </c>
      <c r="BD89">
        <v>74.218014715999999</v>
      </c>
      <c r="BE89" s="4">
        <f t="shared" si="66"/>
        <v>6.6612518907148983</v>
      </c>
      <c r="BF89">
        <v>86.467832560000005</v>
      </c>
      <c r="BG89" s="4">
        <f t="shared" si="67"/>
        <v>7.7607035883452173</v>
      </c>
      <c r="BH89">
        <v>69.600345614999995</v>
      </c>
      <c r="BI89" s="4">
        <f t="shared" si="68"/>
        <v>6.2468045742859282</v>
      </c>
      <c r="BJ89">
        <v>83.245741845999987</v>
      </c>
      <c r="BK89" s="4">
        <f t="shared" si="69"/>
        <v>7.4715129121621136</v>
      </c>
      <c r="BL89">
        <v>79.015502925999996</v>
      </c>
      <c r="BM89" s="4">
        <f t="shared" si="70"/>
        <v>7.0918384205733362</v>
      </c>
      <c r="BN89">
        <v>78.668842318000003</v>
      </c>
      <c r="BO89" s="4">
        <f t="shared" si="71"/>
        <v>7.0607247665728545</v>
      </c>
      <c r="BP89">
        <v>82.323292735999999</v>
      </c>
      <c r="BQ89" s="4">
        <f t="shared" si="72"/>
        <v>7.3887208043216033</v>
      </c>
      <c r="BR89">
        <v>61.531560420999988</v>
      </c>
      <c r="BS89" s="4">
        <f t="shared" si="73"/>
        <v>5.5226109828111909</v>
      </c>
      <c r="BT89">
        <v>74.217095376000003</v>
      </c>
      <c r="BU89" s="4">
        <f t="shared" si="74"/>
        <v>6.6611693776574334</v>
      </c>
      <c r="BV89">
        <v>83.618038171999999</v>
      </c>
      <c r="BW89" s="4">
        <f t="shared" si="75"/>
        <v>7.5049274357782938</v>
      </c>
      <c r="BX89">
        <v>57.223571300000003</v>
      </c>
      <c r="BY89" s="4">
        <f t="shared" si="76"/>
        <v>5.1359582168048545</v>
      </c>
      <c r="BZ89">
        <v>65.626413345999993</v>
      </c>
      <c r="CA89" s="4">
        <f t="shared" si="77"/>
        <v>5.8901342437503619</v>
      </c>
      <c r="CB89">
        <v>79.036039826000007</v>
      </c>
      <c r="CC89" s="4">
        <f t="shared" si="78"/>
        <v>7.0936816585591274</v>
      </c>
      <c r="CD89">
        <v>90.651581281000006</v>
      </c>
      <c r="CE89" s="4">
        <f t="shared" si="79"/>
        <v>8.1362054686458389</v>
      </c>
    </row>
    <row r="90" spans="1:83" x14ac:dyDescent="0.2">
      <c r="A90" s="2">
        <v>42092</v>
      </c>
      <c r="B90">
        <v>2022</v>
      </c>
      <c r="C90">
        <v>4</v>
      </c>
      <c r="D90">
        <v>101.48363399</v>
      </c>
      <c r="E90" s="4">
        <f t="shared" si="40"/>
        <v>25.782662924564018</v>
      </c>
      <c r="F90">
        <v>126.43872835000001</v>
      </c>
      <c r="G90" s="4">
        <f t="shared" si="41"/>
        <v>32.122688018639472</v>
      </c>
      <c r="H90">
        <v>134.52330685000001</v>
      </c>
      <c r="I90" s="4">
        <f t="shared" si="42"/>
        <v>34.17663459265767</v>
      </c>
      <c r="J90">
        <v>105.25610589999999</v>
      </c>
      <c r="K90" s="4">
        <f t="shared" si="43"/>
        <v>26.741087133707932</v>
      </c>
      <c r="L90">
        <v>134.88326740400001</v>
      </c>
      <c r="M90" s="4">
        <f t="shared" si="44"/>
        <v>34.268085216418697</v>
      </c>
      <c r="N90">
        <v>93.954199791999997</v>
      </c>
      <c r="O90" s="4">
        <f t="shared" si="45"/>
        <v>23.869754839711163</v>
      </c>
      <c r="P90">
        <v>77.580322261999996</v>
      </c>
      <c r="Q90" s="4">
        <f t="shared" si="46"/>
        <v>19.709850936726351</v>
      </c>
      <c r="R90">
        <v>74.725068097999994</v>
      </c>
      <c r="S90" s="4">
        <f t="shared" si="47"/>
        <v>18.984452635738986</v>
      </c>
      <c r="T90">
        <v>74.140590188000004</v>
      </c>
      <c r="U90" s="4">
        <f t="shared" si="48"/>
        <v>18.835961727915677</v>
      </c>
      <c r="V90">
        <v>59.92585468</v>
      </c>
      <c r="W90" s="4">
        <f t="shared" si="49"/>
        <v>15.224603721158559</v>
      </c>
      <c r="X90">
        <v>75.912475594</v>
      </c>
      <c r="Y90" s="4">
        <f t="shared" si="50"/>
        <v>19.286122235257714</v>
      </c>
      <c r="Z90">
        <v>49.493525261999999</v>
      </c>
      <c r="AA90" s="4">
        <f t="shared" si="51"/>
        <v>12.574193774971459</v>
      </c>
      <c r="AB90">
        <v>28.053452491000002</v>
      </c>
      <c r="AC90" s="4">
        <f t="shared" si="52"/>
        <v>7.1271857442254749</v>
      </c>
      <c r="AD90">
        <v>77.766943456999996</v>
      </c>
      <c r="AE90" s="4">
        <f t="shared" si="53"/>
        <v>19.757263422622731</v>
      </c>
      <c r="AF90">
        <v>48.748890875999997</v>
      </c>
      <c r="AG90" s="4">
        <f t="shared" si="54"/>
        <v>12.385013937578471</v>
      </c>
      <c r="AH90">
        <v>32.542283597999997</v>
      </c>
      <c r="AI90" s="4">
        <f t="shared" si="55"/>
        <v>8.2676062712287024</v>
      </c>
      <c r="AJ90">
        <v>99.564431183000011</v>
      </c>
      <c r="AK90" s="4">
        <f t="shared" si="56"/>
        <v>25.295075348998544</v>
      </c>
      <c r="AL90">
        <v>85.660186768000003</v>
      </c>
      <c r="AM90" s="4">
        <f t="shared" si="57"/>
        <v>21.762599885930069</v>
      </c>
      <c r="AN90">
        <v>69.705804353000005</v>
      </c>
      <c r="AO90" s="4">
        <f t="shared" si="58"/>
        <v>17.709271799392788</v>
      </c>
      <c r="AP90">
        <v>108.17286301</v>
      </c>
      <c r="AQ90" s="4">
        <f t="shared" si="59"/>
        <v>27.48211071005489</v>
      </c>
      <c r="AR90">
        <v>106.50317668700001</v>
      </c>
      <c r="AS90" s="4">
        <f t="shared" si="60"/>
        <v>27.05791463071558</v>
      </c>
      <c r="AT90">
        <v>77.616082903999995</v>
      </c>
      <c r="AU90" s="4">
        <f t="shared" si="61"/>
        <v>19.718936190598349</v>
      </c>
      <c r="AV90">
        <v>53.296389347999998</v>
      </c>
      <c r="AW90" s="4">
        <f t="shared" si="62"/>
        <v>13.540339339752178</v>
      </c>
      <c r="AX90">
        <v>70.079237696000007</v>
      </c>
      <c r="AY90" s="4">
        <f t="shared" si="63"/>
        <v>17.804145284198338</v>
      </c>
      <c r="AZ90">
        <v>76.028693193999999</v>
      </c>
      <c r="BA90" s="4">
        <f t="shared" si="64"/>
        <v>19.315648170513413</v>
      </c>
      <c r="BB90">
        <v>81.519986157000005</v>
      </c>
      <c r="BC90" s="4">
        <f t="shared" si="65"/>
        <v>20.710751498198846</v>
      </c>
      <c r="BD90">
        <v>83.452092647000001</v>
      </c>
      <c r="BE90" s="4">
        <f t="shared" si="66"/>
        <v>21.201617349247709</v>
      </c>
      <c r="BF90">
        <v>78.802664757000002</v>
      </c>
      <c r="BG90" s="4">
        <f t="shared" si="67"/>
        <v>20.020396029446044</v>
      </c>
      <c r="BH90">
        <v>73.651237492000007</v>
      </c>
      <c r="BI90" s="4">
        <f t="shared" si="68"/>
        <v>18.711638079696321</v>
      </c>
      <c r="BJ90">
        <v>68.425114149999999</v>
      </c>
      <c r="BK90" s="4">
        <f t="shared" si="69"/>
        <v>17.383903042712333</v>
      </c>
      <c r="BL90">
        <v>82.203389649999991</v>
      </c>
      <c r="BM90" s="4">
        <f t="shared" si="70"/>
        <v>20.884375177295958</v>
      </c>
      <c r="BN90">
        <v>99.016569144000002</v>
      </c>
      <c r="BO90" s="4">
        <f t="shared" si="71"/>
        <v>25.155886972258969</v>
      </c>
      <c r="BP90">
        <v>102.840052134</v>
      </c>
      <c r="BQ90" s="4">
        <f t="shared" si="72"/>
        <v>26.127270921110149</v>
      </c>
      <c r="BR90">
        <v>76.877300964999989</v>
      </c>
      <c r="BS90" s="4">
        <f t="shared" si="73"/>
        <v>19.531243210369933</v>
      </c>
      <c r="BT90">
        <v>74.364578244</v>
      </c>
      <c r="BU90" s="4">
        <f t="shared" si="74"/>
        <v>18.892867539423623</v>
      </c>
      <c r="BV90">
        <v>69.109450812999995</v>
      </c>
      <c r="BW90" s="4">
        <f t="shared" si="75"/>
        <v>17.557763800504947</v>
      </c>
      <c r="BX90">
        <v>50.256423710999997</v>
      </c>
      <c r="BY90" s="4">
        <f t="shared" si="76"/>
        <v>12.76801373177531</v>
      </c>
      <c r="BZ90">
        <v>60.053799154999993</v>
      </c>
      <c r="CA90" s="4">
        <f t="shared" si="77"/>
        <v>15.257108955177968</v>
      </c>
      <c r="CB90">
        <v>77.364857193000006</v>
      </c>
      <c r="CC90" s="4">
        <f t="shared" si="78"/>
        <v>19.655110452693311</v>
      </c>
      <c r="CD90">
        <v>98.259985924000006</v>
      </c>
      <c r="CE90" s="4">
        <f t="shared" si="79"/>
        <v>24.963671445787348</v>
      </c>
    </row>
    <row r="91" spans="1:83" x14ac:dyDescent="0.2">
      <c r="A91" s="2">
        <v>42093</v>
      </c>
      <c r="B91">
        <v>2022</v>
      </c>
      <c r="C91">
        <v>5</v>
      </c>
      <c r="D91">
        <v>131.04167221200001</v>
      </c>
      <c r="E91" s="4">
        <f t="shared" si="40"/>
        <v>63.504547941111802</v>
      </c>
      <c r="F91">
        <v>131.11955689199999</v>
      </c>
      <c r="G91" s="4">
        <f t="shared" si="41"/>
        <v>63.542291899285168</v>
      </c>
      <c r="H91">
        <v>137.33160303400001</v>
      </c>
      <c r="I91" s="4">
        <f t="shared" si="42"/>
        <v>66.552732588708182</v>
      </c>
      <c r="J91">
        <v>135.103442188</v>
      </c>
      <c r="K91" s="4">
        <f t="shared" si="43"/>
        <v>65.472936025700363</v>
      </c>
      <c r="L91">
        <v>132.77194976000001</v>
      </c>
      <c r="M91" s="4">
        <f t="shared" si="44"/>
        <v>64.343063595281961</v>
      </c>
      <c r="N91">
        <v>132.74664213299999</v>
      </c>
      <c r="O91" s="4">
        <f t="shared" si="45"/>
        <v>64.330799180573493</v>
      </c>
      <c r="P91">
        <v>159.39990187199999</v>
      </c>
      <c r="Q91" s="4">
        <f t="shared" si="46"/>
        <v>77.247325521476156</v>
      </c>
      <c r="R91">
        <v>132.57268810900001</v>
      </c>
      <c r="S91" s="4">
        <f t="shared" si="47"/>
        <v>64.246498732706925</v>
      </c>
      <c r="T91">
        <v>141.424457072</v>
      </c>
      <c r="U91" s="4">
        <f t="shared" si="48"/>
        <v>68.536184425705898</v>
      </c>
      <c r="V91">
        <v>142.76627026899999</v>
      </c>
      <c r="W91" s="4">
        <f t="shared" si="49"/>
        <v>69.186445056988489</v>
      </c>
      <c r="X91">
        <v>129.608778</v>
      </c>
      <c r="Y91" s="4">
        <f t="shared" si="50"/>
        <v>62.810148231122731</v>
      </c>
      <c r="Z91">
        <v>127.622821335</v>
      </c>
      <c r="AA91" s="4">
        <f t="shared" si="51"/>
        <v>61.847727055380787</v>
      </c>
      <c r="AB91">
        <v>132.04814052399999</v>
      </c>
      <c r="AC91" s="4">
        <f t="shared" si="52"/>
        <v>63.992295953570085</v>
      </c>
      <c r="AD91">
        <v>123.515602818</v>
      </c>
      <c r="AE91" s="4">
        <f t="shared" si="53"/>
        <v>59.857313999635586</v>
      </c>
      <c r="AF91">
        <v>131.274149429</v>
      </c>
      <c r="AG91" s="4">
        <f t="shared" si="54"/>
        <v>63.617209511457979</v>
      </c>
      <c r="AH91">
        <v>138.338567735</v>
      </c>
      <c r="AI91" s="4">
        <f t="shared" si="55"/>
        <v>67.040721157918497</v>
      </c>
      <c r="AJ91">
        <v>130.31339026399999</v>
      </c>
      <c r="AK91" s="4">
        <f t="shared" si="56"/>
        <v>63.151612763311334</v>
      </c>
      <c r="AL91">
        <v>149.12362622500001</v>
      </c>
      <c r="AM91" s="4">
        <f t="shared" si="57"/>
        <v>72.267304826798011</v>
      </c>
      <c r="AN91">
        <v>168.271963124</v>
      </c>
      <c r="AO91" s="4">
        <f t="shared" si="58"/>
        <v>81.546845129274018</v>
      </c>
      <c r="AP91">
        <v>151.64110326599999</v>
      </c>
      <c r="AQ91" s="4">
        <f t="shared" si="59"/>
        <v>73.487307889504592</v>
      </c>
      <c r="AR91">
        <v>172.05272531700001</v>
      </c>
      <c r="AS91" s="4">
        <f t="shared" si="60"/>
        <v>83.379053081801402</v>
      </c>
      <c r="AT91">
        <v>210.23012401</v>
      </c>
      <c r="AU91" s="4">
        <f t="shared" si="61"/>
        <v>101.88033137474233</v>
      </c>
      <c r="AV91">
        <v>173.33209086299999</v>
      </c>
      <c r="AW91" s="4">
        <f t="shared" si="62"/>
        <v>83.999050745740874</v>
      </c>
      <c r="AX91">
        <v>195.501929268</v>
      </c>
      <c r="AY91" s="4">
        <f t="shared" si="63"/>
        <v>94.742851111469861</v>
      </c>
      <c r="AZ91">
        <v>216.40347957399999</v>
      </c>
      <c r="BA91" s="4">
        <f t="shared" si="64"/>
        <v>104.8720220923129</v>
      </c>
      <c r="BB91">
        <v>172.54945850199999</v>
      </c>
      <c r="BC91" s="4">
        <f t="shared" si="65"/>
        <v>83.619776630488559</v>
      </c>
      <c r="BD91">
        <v>179.80930567999999</v>
      </c>
      <c r="BE91" s="4">
        <f t="shared" si="66"/>
        <v>87.137995723530835</v>
      </c>
      <c r="BF91">
        <v>186.92930031099999</v>
      </c>
      <c r="BG91" s="4">
        <f t="shared" si="67"/>
        <v>90.588440400803449</v>
      </c>
      <c r="BH91">
        <v>188.08194352800001</v>
      </c>
      <c r="BI91" s="4">
        <f t="shared" si="68"/>
        <v>91.147026728323411</v>
      </c>
      <c r="BJ91">
        <v>184.386004445</v>
      </c>
      <c r="BK91" s="4">
        <f t="shared" si="69"/>
        <v>89.35592518999681</v>
      </c>
      <c r="BL91">
        <v>197.13842390100001</v>
      </c>
      <c r="BM91" s="4">
        <f t="shared" si="70"/>
        <v>95.53591831003699</v>
      </c>
      <c r="BN91">
        <v>200.600997928</v>
      </c>
      <c r="BO91" s="4">
        <f t="shared" si="71"/>
        <v>97.213928019357013</v>
      </c>
      <c r="BP91">
        <v>204.22087576300001</v>
      </c>
      <c r="BQ91" s="4">
        <f t="shared" si="72"/>
        <v>98.968169259058442</v>
      </c>
      <c r="BR91">
        <v>208.529112328</v>
      </c>
      <c r="BS91" s="4">
        <f t="shared" si="73"/>
        <v>101.05599835086882</v>
      </c>
      <c r="BT91">
        <v>170.365482552</v>
      </c>
      <c r="BU91" s="4">
        <f t="shared" si="74"/>
        <v>82.561392659360408</v>
      </c>
      <c r="BV91">
        <v>161.63733816600001</v>
      </c>
      <c r="BW91" s="4">
        <f t="shared" si="75"/>
        <v>78.331617090707951</v>
      </c>
      <c r="BX91">
        <v>155.12478304499999</v>
      </c>
      <c r="BY91" s="4">
        <f t="shared" si="76"/>
        <v>75.175545728678983</v>
      </c>
      <c r="BZ91">
        <v>184.460907443</v>
      </c>
      <c r="CA91" s="4">
        <f t="shared" si="77"/>
        <v>89.392224185172395</v>
      </c>
      <c r="CB91">
        <v>232.11272050299999</v>
      </c>
      <c r="CC91" s="4">
        <f t="shared" si="78"/>
        <v>112.48493046607221</v>
      </c>
      <c r="CD91">
        <v>237.19491101599999</v>
      </c>
      <c r="CE91" s="4">
        <f t="shared" si="79"/>
        <v>114.94782799806141</v>
      </c>
    </row>
    <row r="92" spans="1:83" x14ac:dyDescent="0.2">
      <c r="A92" s="2">
        <v>42094</v>
      </c>
      <c r="B92">
        <v>2022</v>
      </c>
      <c r="C92">
        <v>6</v>
      </c>
      <c r="D92">
        <v>242.380116087</v>
      </c>
      <c r="E92" s="4">
        <f t="shared" si="40"/>
        <v>349.65891702531115</v>
      </c>
      <c r="F92">
        <v>222.62020410599999</v>
      </c>
      <c r="G92" s="4">
        <f t="shared" si="41"/>
        <v>321.15315700120118</v>
      </c>
      <c r="H92">
        <v>221.84802759900001</v>
      </c>
      <c r="I92" s="4">
        <f t="shared" si="42"/>
        <v>320.03921083454003</v>
      </c>
      <c r="J92">
        <v>241.88859546699999</v>
      </c>
      <c r="K92" s="4">
        <f t="shared" si="43"/>
        <v>348.9498466178066</v>
      </c>
      <c r="L92">
        <v>268.20838725599998</v>
      </c>
      <c r="M92" s="4">
        <f t="shared" si="44"/>
        <v>386.9189261027347</v>
      </c>
      <c r="N92">
        <v>257.03838395899999</v>
      </c>
      <c r="O92" s="4">
        <f t="shared" si="45"/>
        <v>370.80501659954649</v>
      </c>
      <c r="P92">
        <v>157.24359773399999</v>
      </c>
      <c r="Q92" s="4">
        <f t="shared" si="46"/>
        <v>226.84049739913064</v>
      </c>
      <c r="R92">
        <v>219.72929787999999</v>
      </c>
      <c r="S92" s="4">
        <f t="shared" si="47"/>
        <v>316.98271944005216</v>
      </c>
      <c r="T92">
        <v>190.33504176</v>
      </c>
      <c r="U92" s="4">
        <f t="shared" si="48"/>
        <v>274.57840044057349</v>
      </c>
      <c r="V92">
        <v>175.81644099100001</v>
      </c>
      <c r="W92" s="4">
        <f t="shared" si="49"/>
        <v>253.63378541369889</v>
      </c>
      <c r="X92">
        <v>234.70528266900001</v>
      </c>
      <c r="Y92" s="4">
        <f t="shared" si="50"/>
        <v>338.5871592235107</v>
      </c>
      <c r="Z92">
        <v>203.795666364</v>
      </c>
      <c r="AA92" s="4">
        <f t="shared" si="51"/>
        <v>293.99677310869077</v>
      </c>
      <c r="AB92">
        <v>182.89775490100001</v>
      </c>
      <c r="AC92" s="4">
        <f t="shared" si="52"/>
        <v>263.84932863919238</v>
      </c>
      <c r="AD92">
        <v>219.92348525899999</v>
      </c>
      <c r="AE92" s="4">
        <f t="shared" si="53"/>
        <v>317.26285524383547</v>
      </c>
      <c r="AF92">
        <v>192.62773977500001</v>
      </c>
      <c r="AG92" s="4">
        <f t="shared" si="54"/>
        <v>277.88585947612916</v>
      </c>
      <c r="AH92">
        <v>189.944193539</v>
      </c>
      <c r="AI92" s="4">
        <f t="shared" si="55"/>
        <v>274.0145606013885</v>
      </c>
      <c r="AJ92">
        <v>206.60708714099999</v>
      </c>
      <c r="AK92" s="4">
        <f t="shared" si="56"/>
        <v>298.05254451460684</v>
      </c>
      <c r="AL92">
        <v>174.95972497299999</v>
      </c>
      <c r="AM92" s="4">
        <f t="shared" si="57"/>
        <v>252.39788207357259</v>
      </c>
      <c r="AN92">
        <v>166.398714786</v>
      </c>
      <c r="AO92" s="4">
        <f t="shared" si="58"/>
        <v>240.04772068675896</v>
      </c>
      <c r="AP92">
        <v>194.781807899</v>
      </c>
      <c r="AQ92" s="4">
        <f t="shared" si="59"/>
        <v>280.99333025218175</v>
      </c>
      <c r="AR92">
        <v>165.75878543499999</v>
      </c>
      <c r="AS92" s="4">
        <f t="shared" si="60"/>
        <v>239.12455501023516</v>
      </c>
      <c r="AT92">
        <v>167.06991457999999</v>
      </c>
      <c r="AU92" s="4">
        <f t="shared" si="61"/>
        <v>241.01599728001469</v>
      </c>
      <c r="AV92">
        <v>175.286129601</v>
      </c>
      <c r="AW92" s="4">
        <f t="shared" si="62"/>
        <v>252.86875522348711</v>
      </c>
      <c r="AX92">
        <v>159.56707262500001</v>
      </c>
      <c r="AY92" s="4">
        <f t="shared" si="63"/>
        <v>230.19235532889149</v>
      </c>
      <c r="AZ92">
        <v>164.03799925800001</v>
      </c>
      <c r="BA92" s="4">
        <f t="shared" si="64"/>
        <v>236.64213920486452</v>
      </c>
      <c r="BB92">
        <v>156.78767638299999</v>
      </c>
      <c r="BC92" s="4">
        <f t="shared" si="65"/>
        <v>226.18278269706261</v>
      </c>
      <c r="BD92">
        <v>145.49348128400001</v>
      </c>
      <c r="BE92" s="4">
        <f t="shared" si="66"/>
        <v>209.88971340266795</v>
      </c>
      <c r="BF92">
        <v>165.65040862800001</v>
      </c>
      <c r="BG92" s="4">
        <f t="shared" si="67"/>
        <v>238.96821001965569</v>
      </c>
      <c r="BH92">
        <v>155.441855081</v>
      </c>
      <c r="BI92" s="4">
        <f t="shared" si="68"/>
        <v>224.24129332671342</v>
      </c>
      <c r="BJ92">
        <v>157.99872046300001</v>
      </c>
      <c r="BK92" s="4">
        <f t="shared" si="69"/>
        <v>227.92984168985032</v>
      </c>
      <c r="BL92">
        <v>157.980922222</v>
      </c>
      <c r="BM92" s="4">
        <f t="shared" si="70"/>
        <v>227.90416584740296</v>
      </c>
      <c r="BN92">
        <v>143.599471163</v>
      </c>
      <c r="BO92" s="4">
        <f t="shared" si="71"/>
        <v>207.15740376260604</v>
      </c>
      <c r="BP92">
        <v>145.37400532000001</v>
      </c>
      <c r="BQ92" s="4">
        <f t="shared" si="72"/>
        <v>209.7173567058513</v>
      </c>
      <c r="BR92">
        <v>176.21648788600001</v>
      </c>
      <c r="BS92" s="4">
        <f t="shared" si="73"/>
        <v>254.21089531166936</v>
      </c>
      <c r="BT92">
        <v>154.25447798499999</v>
      </c>
      <c r="BU92" s="4">
        <f t="shared" si="74"/>
        <v>222.52837645799224</v>
      </c>
      <c r="BV92">
        <v>169.91531193200001</v>
      </c>
      <c r="BW92" s="4">
        <f t="shared" si="75"/>
        <v>245.12078348388752</v>
      </c>
      <c r="BX92">
        <v>173.775686804</v>
      </c>
      <c r="BY92" s="4">
        <f t="shared" si="76"/>
        <v>250.68978195969788</v>
      </c>
      <c r="BZ92">
        <v>160.33552872300001</v>
      </c>
      <c r="CA92" s="4">
        <f t="shared" si="77"/>
        <v>231.30093441263008</v>
      </c>
      <c r="CB92">
        <v>168.00729657100001</v>
      </c>
      <c r="CC92" s="4">
        <f t="shared" si="78"/>
        <v>242.36826980592787</v>
      </c>
      <c r="CD92">
        <v>160.19307028399999</v>
      </c>
      <c r="CE92" s="4">
        <f t="shared" si="79"/>
        <v>231.09542306827547</v>
      </c>
    </row>
    <row r="93" spans="1:83" x14ac:dyDescent="0.2">
      <c r="A93" s="2">
        <v>42095</v>
      </c>
      <c r="B93">
        <v>2022</v>
      </c>
      <c r="C93">
        <v>7</v>
      </c>
      <c r="D93">
        <v>381.15456866900001</v>
      </c>
      <c r="E93" s="4">
        <f t="shared" si="40"/>
        <v>310.48378816098995</v>
      </c>
      <c r="F93">
        <v>379.99533748099998</v>
      </c>
      <c r="G93" s="4">
        <f t="shared" si="41"/>
        <v>309.53949280107474</v>
      </c>
      <c r="H93">
        <v>374.42870427499997</v>
      </c>
      <c r="I93" s="4">
        <f t="shared" si="42"/>
        <v>305.0049823762435</v>
      </c>
      <c r="J93">
        <v>399.65893698000002</v>
      </c>
      <c r="K93" s="4">
        <f t="shared" si="43"/>
        <v>325.55721727083426</v>
      </c>
      <c r="L93">
        <v>394.24541807999998</v>
      </c>
      <c r="M93" s="4">
        <f t="shared" si="44"/>
        <v>321.14743186219403</v>
      </c>
      <c r="N93">
        <v>375.73758648500001</v>
      </c>
      <c r="O93" s="4">
        <f t="shared" si="45"/>
        <v>306.07118160412222</v>
      </c>
      <c r="P93">
        <v>355.77547741000001</v>
      </c>
      <c r="Q93" s="4">
        <f t="shared" si="46"/>
        <v>289.81029493304777</v>
      </c>
      <c r="R93">
        <v>396.97808265800001</v>
      </c>
      <c r="S93" s="4">
        <f t="shared" si="47"/>
        <v>323.37342656275234</v>
      </c>
      <c r="T93">
        <v>344.21897411100002</v>
      </c>
      <c r="U93" s="4">
        <f t="shared" si="48"/>
        <v>280.3965105602191</v>
      </c>
      <c r="V93">
        <v>332.533172095</v>
      </c>
      <c r="W93" s="4">
        <f t="shared" si="49"/>
        <v>270.8774010548629</v>
      </c>
      <c r="X93">
        <v>368.57888365100001</v>
      </c>
      <c r="Y93" s="4">
        <f t="shared" si="50"/>
        <v>300.23979099012354</v>
      </c>
      <c r="Z93">
        <v>307.09360122099997</v>
      </c>
      <c r="AA93" s="4">
        <f t="shared" si="51"/>
        <v>250.15464188203831</v>
      </c>
      <c r="AB93">
        <v>273.59823940400003</v>
      </c>
      <c r="AC93" s="4">
        <f t="shared" si="52"/>
        <v>222.86973523883228</v>
      </c>
      <c r="AD93">
        <v>358.10733602400001</v>
      </c>
      <c r="AE93" s="4">
        <f t="shared" si="53"/>
        <v>291.70979806233936</v>
      </c>
      <c r="AF93">
        <v>289.53039979800002</v>
      </c>
      <c r="AG93" s="4">
        <f t="shared" si="54"/>
        <v>235.84787565570178</v>
      </c>
      <c r="AH93">
        <v>284.22180082900002</v>
      </c>
      <c r="AI93" s="4">
        <f t="shared" si="55"/>
        <v>231.52355672262874</v>
      </c>
      <c r="AJ93">
        <v>351.999443525</v>
      </c>
      <c r="AK93" s="4">
        <f t="shared" si="56"/>
        <v>286.73438452501279</v>
      </c>
      <c r="AL93">
        <v>303.12449930000002</v>
      </c>
      <c r="AM93" s="4">
        <f t="shared" si="57"/>
        <v>246.92146064448292</v>
      </c>
      <c r="AN93">
        <v>306.75642635000003</v>
      </c>
      <c r="AO93" s="4">
        <f t="shared" si="58"/>
        <v>249.87998341057795</v>
      </c>
      <c r="AP93">
        <v>354.25410747000001</v>
      </c>
      <c r="AQ93" s="4">
        <f t="shared" si="59"/>
        <v>288.57100583357573</v>
      </c>
      <c r="AR93">
        <v>316.38097238500001</v>
      </c>
      <c r="AS93" s="4">
        <f t="shared" si="60"/>
        <v>257.72001933802784</v>
      </c>
      <c r="AT93">
        <v>343.03657580999999</v>
      </c>
      <c r="AU93" s="4">
        <f t="shared" si="61"/>
        <v>279.43334355715365</v>
      </c>
      <c r="AV93">
        <v>298.94534872399998</v>
      </c>
      <c r="AW93" s="4">
        <f t="shared" si="62"/>
        <v>243.51717637560279</v>
      </c>
      <c r="AX93">
        <v>310.81125069199999</v>
      </c>
      <c r="AY93" s="4">
        <f t="shared" si="63"/>
        <v>253.18299306996062</v>
      </c>
      <c r="AZ93">
        <v>330.80195808100001</v>
      </c>
      <c r="BA93" s="4">
        <f t="shared" si="64"/>
        <v>269.46717557321347</v>
      </c>
      <c r="BB93">
        <v>356.26196811800003</v>
      </c>
      <c r="BC93" s="4">
        <f t="shared" si="65"/>
        <v>290.20658423492449</v>
      </c>
      <c r="BD93">
        <v>352.97114277700001</v>
      </c>
      <c r="BE93" s="4">
        <f t="shared" si="66"/>
        <v>287.52591869386112</v>
      </c>
      <c r="BF93">
        <v>383.98571966999998</v>
      </c>
      <c r="BG93" s="4">
        <f t="shared" si="67"/>
        <v>312.7900086812262</v>
      </c>
      <c r="BH93">
        <v>365.692561152</v>
      </c>
      <c r="BI93" s="4">
        <f t="shared" si="68"/>
        <v>297.88862845133195</v>
      </c>
      <c r="BJ93">
        <v>345.12208510400001</v>
      </c>
      <c r="BK93" s="4">
        <f t="shared" si="69"/>
        <v>281.13217358326938</v>
      </c>
      <c r="BL93">
        <v>361.38393210599997</v>
      </c>
      <c r="BM93" s="4">
        <f t="shared" si="70"/>
        <v>294.3788726253581</v>
      </c>
      <c r="BN93">
        <v>374.01491832099998</v>
      </c>
      <c r="BO93" s="4">
        <f t="shared" si="71"/>
        <v>304.66791746597795</v>
      </c>
      <c r="BP93">
        <v>356.76083088199999</v>
      </c>
      <c r="BQ93" s="4">
        <f t="shared" si="72"/>
        <v>290.61295166029748</v>
      </c>
      <c r="BR93">
        <v>362.811041827</v>
      </c>
      <c r="BS93" s="4">
        <f t="shared" si="73"/>
        <v>295.54137851855717</v>
      </c>
      <c r="BT93">
        <v>344.474493489</v>
      </c>
      <c r="BU93" s="4">
        <f t="shared" si="74"/>
        <v>280.6046534790014</v>
      </c>
      <c r="BV93">
        <v>330.684310901</v>
      </c>
      <c r="BW93" s="4">
        <f t="shared" si="75"/>
        <v>269.37134163833394</v>
      </c>
      <c r="BX93">
        <v>295.63865804800002</v>
      </c>
      <c r="BY93" s="4">
        <f t="shared" si="76"/>
        <v>240.82358712926037</v>
      </c>
      <c r="BZ93">
        <v>335.85840534699997</v>
      </c>
      <c r="CA93" s="4">
        <f t="shared" si="77"/>
        <v>273.5860948538251</v>
      </c>
      <c r="CB93">
        <v>364.78856515299998</v>
      </c>
      <c r="CC93" s="4">
        <f t="shared" si="78"/>
        <v>297.1522445133615</v>
      </c>
      <c r="CD93">
        <v>347.02108384399997</v>
      </c>
      <c r="CE93" s="4">
        <f t="shared" si="79"/>
        <v>282.6790744234379</v>
      </c>
    </row>
    <row r="94" spans="1:83" x14ac:dyDescent="0.2">
      <c r="A94" s="2">
        <v>42096</v>
      </c>
      <c r="B94">
        <v>2022</v>
      </c>
      <c r="C94">
        <v>8</v>
      </c>
      <c r="D94">
        <v>397.59411335999999</v>
      </c>
      <c r="E94" s="4">
        <f t="shared" si="40"/>
        <v>357.10111035209547</v>
      </c>
      <c r="F94">
        <v>396.74348328899998</v>
      </c>
      <c r="G94" s="4">
        <f t="shared" si="41"/>
        <v>356.33711276599956</v>
      </c>
      <c r="H94">
        <v>385.518656943</v>
      </c>
      <c r="I94" s="4">
        <f t="shared" si="42"/>
        <v>346.25547972120484</v>
      </c>
      <c r="J94">
        <v>408.47362710900001</v>
      </c>
      <c r="K94" s="4">
        <f t="shared" si="43"/>
        <v>366.87259918784963</v>
      </c>
      <c r="L94">
        <v>415.75057102800002</v>
      </c>
      <c r="M94" s="4">
        <f t="shared" si="44"/>
        <v>373.408422194595</v>
      </c>
      <c r="N94">
        <v>391.23301696099998</v>
      </c>
      <c r="O94" s="4">
        <f t="shared" si="45"/>
        <v>351.38786030434426</v>
      </c>
      <c r="P94">
        <v>338.19672705900001</v>
      </c>
      <c r="Q94" s="4">
        <f t="shared" si="46"/>
        <v>303.75305542027075</v>
      </c>
      <c r="R94">
        <v>390.182931908</v>
      </c>
      <c r="S94" s="4">
        <f t="shared" si="47"/>
        <v>350.44472124420707</v>
      </c>
      <c r="T94">
        <v>343.908067684</v>
      </c>
      <c r="U94" s="4">
        <f t="shared" si="48"/>
        <v>308.88272412072217</v>
      </c>
      <c r="V94">
        <v>353.73013333300003</v>
      </c>
      <c r="W94" s="4">
        <f t="shared" si="49"/>
        <v>317.70446073942622</v>
      </c>
      <c r="X94">
        <v>382.14002323099999</v>
      </c>
      <c r="Y94" s="4">
        <f t="shared" si="50"/>
        <v>343.2209432190615</v>
      </c>
      <c r="Z94">
        <v>336.40604638999997</v>
      </c>
      <c r="AA94" s="4">
        <f t="shared" si="51"/>
        <v>302.14474676151815</v>
      </c>
      <c r="AB94">
        <v>333.18048762500001</v>
      </c>
      <c r="AC94" s="4">
        <f t="shared" si="52"/>
        <v>299.24769527664245</v>
      </c>
      <c r="AD94">
        <v>380.682830357</v>
      </c>
      <c r="AE94" s="4">
        <f t="shared" si="53"/>
        <v>341.91215826521739</v>
      </c>
      <c r="AF94">
        <v>326.700282792</v>
      </c>
      <c r="AG94" s="4">
        <f t="shared" si="54"/>
        <v>293.42746740249873</v>
      </c>
      <c r="AH94">
        <v>329.98660472300003</v>
      </c>
      <c r="AI94" s="4">
        <f t="shared" si="55"/>
        <v>296.37909362406702</v>
      </c>
      <c r="AJ94">
        <v>377.18719935199999</v>
      </c>
      <c r="AK94" s="4">
        <f t="shared" si="56"/>
        <v>338.77254006836432</v>
      </c>
      <c r="AL94">
        <v>339.79752157399997</v>
      </c>
      <c r="AM94" s="4">
        <f t="shared" si="57"/>
        <v>305.19081689495948</v>
      </c>
      <c r="AN94">
        <v>337.65503595500002</v>
      </c>
      <c r="AO94" s="4">
        <f t="shared" si="58"/>
        <v>303.26653288835615</v>
      </c>
      <c r="AP94">
        <v>370.32676337999999</v>
      </c>
      <c r="AQ94" s="4">
        <f t="shared" si="59"/>
        <v>332.61080572477152</v>
      </c>
      <c r="AR94">
        <v>341.53183484099998</v>
      </c>
      <c r="AS94" s="4">
        <f t="shared" si="60"/>
        <v>306.74849889409739</v>
      </c>
      <c r="AT94">
        <v>369.345902916</v>
      </c>
      <c r="AU94" s="4">
        <f t="shared" si="61"/>
        <v>331.72984107005158</v>
      </c>
      <c r="AV94">
        <v>345.06434728699998</v>
      </c>
      <c r="AW94" s="4">
        <f t="shared" si="62"/>
        <v>309.9212423387595</v>
      </c>
      <c r="AX94">
        <v>342.54270457400003</v>
      </c>
      <c r="AY94" s="4">
        <f t="shared" si="63"/>
        <v>307.65641652151152</v>
      </c>
      <c r="AZ94">
        <v>370.83426357500002</v>
      </c>
      <c r="BA94" s="4">
        <f t="shared" si="64"/>
        <v>333.06661952343887</v>
      </c>
      <c r="BB94">
        <v>383.86666323600002</v>
      </c>
      <c r="BC94" s="4">
        <f t="shared" si="65"/>
        <v>344.77173344015711</v>
      </c>
      <c r="BD94">
        <v>383.11795903299998</v>
      </c>
      <c r="BE94" s="4">
        <f t="shared" si="66"/>
        <v>344.0992810742074</v>
      </c>
      <c r="BF94">
        <v>418.45443771599997</v>
      </c>
      <c r="BG94" s="4">
        <f t="shared" si="67"/>
        <v>375.83691337211548</v>
      </c>
      <c r="BH94">
        <v>413.26212550600002</v>
      </c>
      <c r="BI94" s="4">
        <f t="shared" si="68"/>
        <v>371.17341259788026</v>
      </c>
      <c r="BJ94">
        <v>392.74443317599997</v>
      </c>
      <c r="BK94" s="4">
        <f t="shared" si="69"/>
        <v>352.74534621886022</v>
      </c>
      <c r="BL94">
        <v>411.142395497</v>
      </c>
      <c r="BM94" s="4">
        <f t="shared" si="70"/>
        <v>369.2695666544289</v>
      </c>
      <c r="BN94">
        <v>410.25466104899999</v>
      </c>
      <c r="BO94" s="4">
        <f t="shared" si="71"/>
        <v>368.47224358945795</v>
      </c>
      <c r="BP94">
        <v>393.074345612</v>
      </c>
      <c r="BQ94" s="4">
        <f t="shared" si="72"/>
        <v>353.04165869748061</v>
      </c>
      <c r="BR94">
        <v>394.82569502799998</v>
      </c>
      <c r="BS94" s="4">
        <f t="shared" si="73"/>
        <v>354.61464179771536</v>
      </c>
      <c r="BT94">
        <v>350.81333329300003</v>
      </c>
      <c r="BU94" s="4">
        <f t="shared" si="74"/>
        <v>315.08472242349211</v>
      </c>
      <c r="BV94">
        <v>358.95629000000002</v>
      </c>
      <c r="BW94" s="4">
        <f t="shared" si="75"/>
        <v>322.39835907933929</v>
      </c>
      <c r="BX94">
        <v>349.91305494300002</v>
      </c>
      <c r="BY94" s="4">
        <f t="shared" si="76"/>
        <v>314.27613299118366</v>
      </c>
      <c r="BZ94">
        <v>376.79873184799999</v>
      </c>
      <c r="CA94" s="4">
        <f t="shared" si="77"/>
        <v>338.4236360671411</v>
      </c>
      <c r="CB94">
        <v>381.93123483800002</v>
      </c>
      <c r="CC94" s="4">
        <f t="shared" si="78"/>
        <v>343.03341889598028</v>
      </c>
      <c r="CD94">
        <v>368.62082103799997</v>
      </c>
      <c r="CE94" s="4">
        <f t="shared" si="79"/>
        <v>331.07860521159824</v>
      </c>
    </row>
    <row r="95" spans="1:83" x14ac:dyDescent="0.2">
      <c r="A95" s="2">
        <v>42097</v>
      </c>
      <c r="B95">
        <v>2022</v>
      </c>
      <c r="C95">
        <v>9</v>
      </c>
      <c r="D95">
        <v>347.38938523600001</v>
      </c>
      <c r="E95" s="4">
        <f t="shared" si="40"/>
        <v>326.67582522681226</v>
      </c>
      <c r="F95">
        <v>352.48304749499999</v>
      </c>
      <c r="G95" s="4">
        <f t="shared" si="41"/>
        <v>331.46577101273505</v>
      </c>
      <c r="H95">
        <v>355.02900028400001</v>
      </c>
      <c r="I95" s="4">
        <f t="shared" si="42"/>
        <v>333.85991793743187</v>
      </c>
      <c r="J95">
        <v>351.76150274600002</v>
      </c>
      <c r="K95" s="4">
        <f t="shared" si="43"/>
        <v>330.78724934127553</v>
      </c>
      <c r="L95">
        <v>332.87074756499999</v>
      </c>
      <c r="M95" s="4">
        <f t="shared" si="44"/>
        <v>313.02288088275606</v>
      </c>
      <c r="N95">
        <v>348.19614935099997</v>
      </c>
      <c r="O95" s="4">
        <f t="shared" si="45"/>
        <v>327.43448494478827</v>
      </c>
      <c r="P95">
        <v>313.996676455</v>
      </c>
      <c r="Q95" s="4">
        <f t="shared" si="46"/>
        <v>295.27420168503073</v>
      </c>
      <c r="R95">
        <v>360.16924523699998</v>
      </c>
      <c r="S95" s="4">
        <f t="shared" si="47"/>
        <v>338.6936688614806</v>
      </c>
      <c r="T95">
        <v>344.03162527799998</v>
      </c>
      <c r="U95" s="4">
        <f t="shared" si="48"/>
        <v>323.51827622902692</v>
      </c>
      <c r="V95">
        <v>341.13872052300002</v>
      </c>
      <c r="W95" s="4">
        <f t="shared" si="49"/>
        <v>320.79786481662819</v>
      </c>
      <c r="X95">
        <v>351.51841543</v>
      </c>
      <c r="Y95" s="4">
        <f t="shared" si="50"/>
        <v>330.55865643391729</v>
      </c>
      <c r="Z95">
        <v>321.270747648</v>
      </c>
      <c r="AA95" s="4">
        <f t="shared" si="51"/>
        <v>302.1145465853723</v>
      </c>
      <c r="AB95">
        <v>315.47842645700001</v>
      </c>
      <c r="AC95" s="4">
        <f t="shared" si="52"/>
        <v>296.66760034732533</v>
      </c>
      <c r="AD95">
        <v>362.81391810000002</v>
      </c>
      <c r="AE95" s="4">
        <f t="shared" si="53"/>
        <v>341.18064954279464</v>
      </c>
      <c r="AF95">
        <v>314.64395809899997</v>
      </c>
      <c r="AG95" s="4">
        <f t="shared" si="54"/>
        <v>295.88288828915427</v>
      </c>
      <c r="AH95">
        <v>313.20484112600002</v>
      </c>
      <c r="AI95" s="4">
        <f t="shared" si="55"/>
        <v>294.52958060408122</v>
      </c>
      <c r="AJ95">
        <v>353.37084769400002</v>
      </c>
      <c r="AK95" s="4">
        <f t="shared" si="56"/>
        <v>332.30063492905145</v>
      </c>
      <c r="AL95">
        <v>312.44944240000001</v>
      </c>
      <c r="AM95" s="4">
        <f t="shared" si="57"/>
        <v>293.81922354459971</v>
      </c>
      <c r="AN95">
        <v>321.92173386299999</v>
      </c>
      <c r="AO95" s="4">
        <f t="shared" si="58"/>
        <v>302.72671687046005</v>
      </c>
      <c r="AP95">
        <v>360.65526390799999</v>
      </c>
      <c r="AQ95" s="4">
        <f t="shared" si="59"/>
        <v>339.15070801458165</v>
      </c>
      <c r="AR95">
        <v>334.89296531000002</v>
      </c>
      <c r="AS95" s="4">
        <f t="shared" si="60"/>
        <v>314.9245211708938</v>
      </c>
      <c r="AT95">
        <v>361.13887404299999</v>
      </c>
      <c r="AU95" s="4">
        <f t="shared" si="61"/>
        <v>339.60548224388589</v>
      </c>
      <c r="AV95">
        <v>346.14413117100003</v>
      </c>
      <c r="AW95" s="4">
        <f t="shared" si="62"/>
        <v>325.50482111272697</v>
      </c>
      <c r="AX95">
        <v>346.79257060399999</v>
      </c>
      <c r="AY95" s="4">
        <f t="shared" si="63"/>
        <v>326.1145964711219</v>
      </c>
      <c r="AZ95">
        <v>364.91549469500001</v>
      </c>
      <c r="BA95" s="4">
        <f t="shared" si="64"/>
        <v>343.15691680260909</v>
      </c>
      <c r="BB95">
        <v>390.51205111100001</v>
      </c>
      <c r="BC95" s="4">
        <f t="shared" si="65"/>
        <v>367.2272440651443</v>
      </c>
      <c r="BD95">
        <v>388.44812060300001</v>
      </c>
      <c r="BE95" s="4">
        <f t="shared" si="66"/>
        <v>365.28637819368527</v>
      </c>
      <c r="BF95">
        <v>411.57381437399999</v>
      </c>
      <c r="BG95" s="4">
        <f t="shared" si="67"/>
        <v>387.03317132454544</v>
      </c>
      <c r="BH95">
        <v>406.42801046300002</v>
      </c>
      <c r="BI95" s="4">
        <f t="shared" si="68"/>
        <v>382.19419290285509</v>
      </c>
      <c r="BJ95">
        <v>387.90855742899998</v>
      </c>
      <c r="BK95" s="4">
        <f t="shared" si="69"/>
        <v>364.77898720069709</v>
      </c>
      <c r="BL95">
        <v>402.22060394099998</v>
      </c>
      <c r="BM95" s="4">
        <f t="shared" si="70"/>
        <v>378.23765866187563</v>
      </c>
      <c r="BN95">
        <v>432.496729152</v>
      </c>
      <c r="BO95" s="4">
        <f t="shared" si="71"/>
        <v>406.70852912688599</v>
      </c>
      <c r="BP95">
        <v>422.23901675799999</v>
      </c>
      <c r="BQ95" s="4">
        <f t="shared" si="72"/>
        <v>397.06244665095545</v>
      </c>
      <c r="BR95">
        <v>395.852610583</v>
      </c>
      <c r="BS95" s="4">
        <f t="shared" si="73"/>
        <v>372.24936548518497</v>
      </c>
      <c r="BT95">
        <v>349.14338590099999</v>
      </c>
      <c r="BU95" s="4">
        <f t="shared" si="74"/>
        <v>328.32524123961872</v>
      </c>
      <c r="BV95">
        <v>354.21677827899998</v>
      </c>
      <c r="BW95" s="4">
        <f t="shared" si="75"/>
        <v>333.09612576349855</v>
      </c>
      <c r="BX95">
        <v>346.17609503300002</v>
      </c>
      <c r="BY95" s="4">
        <f t="shared" si="76"/>
        <v>325.5348790864017</v>
      </c>
      <c r="BZ95">
        <v>373.77954007300002</v>
      </c>
      <c r="CA95" s="4">
        <f t="shared" si="77"/>
        <v>351.49243153556176</v>
      </c>
      <c r="CB95">
        <v>383.086140156</v>
      </c>
      <c r="CC95" s="4">
        <f t="shared" si="78"/>
        <v>360.24411305313185</v>
      </c>
      <c r="CD95">
        <v>412.84496020799997</v>
      </c>
      <c r="CE95" s="4">
        <f t="shared" si="79"/>
        <v>388.22852337602927</v>
      </c>
    </row>
    <row r="96" spans="1:83" x14ac:dyDescent="0.2">
      <c r="A96" s="2">
        <v>42098</v>
      </c>
      <c r="B96">
        <v>2022</v>
      </c>
      <c r="C96">
        <v>10</v>
      </c>
      <c r="D96">
        <v>326.598966136</v>
      </c>
      <c r="E96" s="4">
        <f t="shared" si="40"/>
        <v>221.56028595805248</v>
      </c>
      <c r="F96">
        <v>290.25921128700003</v>
      </c>
      <c r="G96" s="4">
        <f t="shared" si="41"/>
        <v>196.90789170449187</v>
      </c>
      <c r="H96">
        <v>323.35842419800002</v>
      </c>
      <c r="I96" s="4">
        <f t="shared" si="42"/>
        <v>219.3619464870593</v>
      </c>
      <c r="J96">
        <v>316.00770689299998</v>
      </c>
      <c r="K96" s="4">
        <f t="shared" si="43"/>
        <v>214.37532008293763</v>
      </c>
      <c r="L96">
        <v>332.91948152700002</v>
      </c>
      <c r="M96" s="4">
        <f t="shared" si="44"/>
        <v>225.84803742891629</v>
      </c>
      <c r="N96">
        <v>305.264641767</v>
      </c>
      <c r="O96" s="4">
        <f t="shared" si="45"/>
        <v>207.08737116643255</v>
      </c>
      <c r="P96">
        <v>300.87670969999999</v>
      </c>
      <c r="Q96" s="4">
        <f t="shared" si="46"/>
        <v>204.11065787480445</v>
      </c>
      <c r="R96">
        <v>300.753572459</v>
      </c>
      <c r="S96" s="4">
        <f t="shared" si="47"/>
        <v>204.0271232492947</v>
      </c>
      <c r="T96">
        <v>303.14940572099999</v>
      </c>
      <c r="U96" s="4">
        <f t="shared" si="48"/>
        <v>205.65242387077765</v>
      </c>
      <c r="V96">
        <v>294.34728811600002</v>
      </c>
      <c r="W96" s="4">
        <f t="shared" si="49"/>
        <v>199.68118729072029</v>
      </c>
      <c r="X96">
        <v>299.56415223499999</v>
      </c>
      <c r="Y96" s="4">
        <f t="shared" si="50"/>
        <v>203.22023678522672</v>
      </c>
      <c r="Z96">
        <v>282.54942297000002</v>
      </c>
      <c r="AA96" s="4">
        <f t="shared" si="51"/>
        <v>191.67767642120387</v>
      </c>
      <c r="AB96">
        <v>277.35924004399999</v>
      </c>
      <c r="AC96" s="4">
        <f t="shared" si="52"/>
        <v>188.15672708427203</v>
      </c>
      <c r="AD96">
        <v>297.02666497199999</v>
      </c>
      <c r="AE96" s="4">
        <f t="shared" si="53"/>
        <v>201.4988400206972</v>
      </c>
      <c r="AF96">
        <v>272.51360321300001</v>
      </c>
      <c r="AG96" s="4">
        <f t="shared" si="54"/>
        <v>184.86951312083846</v>
      </c>
      <c r="AH96">
        <v>250.283334733</v>
      </c>
      <c r="AI96" s="4">
        <f t="shared" si="55"/>
        <v>169.78880205911972</v>
      </c>
      <c r="AJ96">
        <v>274.52201653899999</v>
      </c>
      <c r="AK96" s="4">
        <f t="shared" si="56"/>
        <v>186.2319933396069</v>
      </c>
      <c r="AL96">
        <v>263.79885100600001</v>
      </c>
      <c r="AM96" s="4">
        <f t="shared" si="57"/>
        <v>178.95754403569305</v>
      </c>
      <c r="AN96">
        <v>255.385650634</v>
      </c>
      <c r="AO96" s="4">
        <f t="shared" si="58"/>
        <v>173.25014360422165</v>
      </c>
      <c r="AP96">
        <v>283.65773153100002</v>
      </c>
      <c r="AQ96" s="4">
        <f t="shared" si="59"/>
        <v>192.42953783892392</v>
      </c>
      <c r="AR96">
        <v>284.17551517099997</v>
      </c>
      <c r="AS96" s="4">
        <f t="shared" si="60"/>
        <v>192.78079520112578</v>
      </c>
      <c r="AT96">
        <v>275.90570642199998</v>
      </c>
      <c r="AU96" s="4">
        <f t="shared" si="61"/>
        <v>187.170669691776</v>
      </c>
      <c r="AV96">
        <v>261.40745592799999</v>
      </c>
      <c r="AW96" s="4">
        <f t="shared" si="62"/>
        <v>177.33525421772794</v>
      </c>
      <c r="AX96">
        <v>266.59555006699998</v>
      </c>
      <c r="AY96" s="4">
        <f t="shared" si="63"/>
        <v>180.85478655003629</v>
      </c>
      <c r="AZ96">
        <v>267.60721588500002</v>
      </c>
      <c r="BA96" s="4">
        <f t="shared" si="64"/>
        <v>181.54108684847856</v>
      </c>
      <c r="BB96">
        <v>288.85733317699999</v>
      </c>
      <c r="BC96" s="4">
        <f t="shared" si="65"/>
        <v>195.9568767070941</v>
      </c>
      <c r="BD96">
        <v>282.514286997</v>
      </c>
      <c r="BE96" s="4">
        <f t="shared" si="66"/>
        <v>191.65384065614495</v>
      </c>
      <c r="BF96">
        <v>283.51606320399998</v>
      </c>
      <c r="BG96" s="4">
        <f t="shared" si="67"/>
        <v>192.33343197731423</v>
      </c>
      <c r="BH96">
        <v>277.148554805</v>
      </c>
      <c r="BI96" s="4">
        <f t="shared" si="68"/>
        <v>188.01380109049978</v>
      </c>
      <c r="BJ96">
        <v>289.80554199599999</v>
      </c>
      <c r="BK96" s="4">
        <f t="shared" si="69"/>
        <v>196.60012864255219</v>
      </c>
      <c r="BL96">
        <v>277.83192776999999</v>
      </c>
      <c r="BM96" s="4">
        <f t="shared" si="70"/>
        <v>188.47739199322896</v>
      </c>
      <c r="BN96">
        <v>281.25502108900002</v>
      </c>
      <c r="BO96" s="4">
        <f t="shared" si="71"/>
        <v>190.79957183228859</v>
      </c>
      <c r="BP96">
        <v>284.14001586799998</v>
      </c>
      <c r="BQ96" s="4">
        <f t="shared" si="72"/>
        <v>192.75671295794834</v>
      </c>
      <c r="BR96">
        <v>279.88673304500003</v>
      </c>
      <c r="BS96" s="4">
        <f t="shared" si="73"/>
        <v>189.87134387771698</v>
      </c>
      <c r="BT96">
        <v>292.60329986699998</v>
      </c>
      <c r="BU96" s="4">
        <f t="shared" si="74"/>
        <v>198.4980894391642</v>
      </c>
      <c r="BV96">
        <v>303.15062569899999</v>
      </c>
      <c r="BW96" s="4">
        <f t="shared" si="75"/>
        <v>205.65325148722033</v>
      </c>
      <c r="BX96">
        <v>288.41937017800001</v>
      </c>
      <c r="BY96" s="4">
        <f t="shared" si="76"/>
        <v>195.6597685795164</v>
      </c>
      <c r="BZ96">
        <v>279.898605825</v>
      </c>
      <c r="CA96" s="4">
        <f t="shared" si="77"/>
        <v>189.8793982098021</v>
      </c>
      <c r="CB96">
        <v>276.62781454100002</v>
      </c>
      <c r="CC96" s="4">
        <f t="shared" si="78"/>
        <v>187.66053799488526</v>
      </c>
      <c r="CD96">
        <v>286.364540331</v>
      </c>
      <c r="CE96" s="4">
        <f t="shared" si="79"/>
        <v>194.26580002571859</v>
      </c>
    </row>
    <row r="97" spans="1:83" x14ac:dyDescent="0.2">
      <c r="A97" s="2">
        <v>42099</v>
      </c>
      <c r="B97">
        <v>2022</v>
      </c>
      <c r="C97">
        <v>11</v>
      </c>
      <c r="D97">
        <v>162.91297912900001</v>
      </c>
      <c r="E97" s="4">
        <f t="shared" si="40"/>
        <v>232.45597294550885</v>
      </c>
      <c r="F97">
        <v>149.639902122</v>
      </c>
      <c r="G97" s="4">
        <f t="shared" si="41"/>
        <v>213.51699063643377</v>
      </c>
      <c r="H97">
        <v>173.46152066799999</v>
      </c>
      <c r="I97" s="4">
        <f t="shared" si="42"/>
        <v>247.50739180552935</v>
      </c>
      <c r="J97">
        <v>141.45314790699999</v>
      </c>
      <c r="K97" s="4">
        <f t="shared" si="43"/>
        <v>201.83554004552249</v>
      </c>
      <c r="L97">
        <v>223.62904356999999</v>
      </c>
      <c r="M97" s="4">
        <f t="shared" si="44"/>
        <v>319.09002695712365</v>
      </c>
      <c r="N97">
        <v>128.923151021</v>
      </c>
      <c r="O97" s="4">
        <f t="shared" si="45"/>
        <v>183.95683797579377</v>
      </c>
      <c r="P97">
        <v>121.646481283</v>
      </c>
      <c r="Q97" s="4">
        <f t="shared" si="46"/>
        <v>173.57396146838832</v>
      </c>
      <c r="R97">
        <v>138.09154367900001</v>
      </c>
      <c r="S97" s="4">
        <f t="shared" si="47"/>
        <v>197.0389610028011</v>
      </c>
      <c r="T97">
        <v>147.063379758</v>
      </c>
      <c r="U97" s="4">
        <f t="shared" si="48"/>
        <v>209.84062294527988</v>
      </c>
      <c r="V97">
        <v>119.5898627</v>
      </c>
      <c r="W97" s="4">
        <f t="shared" si="49"/>
        <v>170.63942993968473</v>
      </c>
      <c r="X97">
        <v>128.663716787</v>
      </c>
      <c r="Y97" s="4">
        <f t="shared" si="50"/>
        <v>183.58665852414867</v>
      </c>
      <c r="Z97">
        <v>139.76707888300001</v>
      </c>
      <c r="AA97" s="4">
        <f t="shared" si="51"/>
        <v>199.42973531760791</v>
      </c>
      <c r="AB97">
        <v>133.112610104</v>
      </c>
      <c r="AC97" s="4">
        <f t="shared" si="52"/>
        <v>189.93465995450197</v>
      </c>
      <c r="AD97">
        <v>128.65664528600001</v>
      </c>
      <c r="AE97" s="4">
        <f t="shared" si="53"/>
        <v>183.57656839717461</v>
      </c>
      <c r="AF97">
        <v>125.04594613</v>
      </c>
      <c r="AG97" s="4">
        <f t="shared" si="54"/>
        <v>178.42456276933018</v>
      </c>
      <c r="AH97">
        <v>96.218693256999998</v>
      </c>
      <c r="AI97" s="4">
        <f t="shared" si="55"/>
        <v>137.29176199577549</v>
      </c>
      <c r="AJ97">
        <v>144.20791867099999</v>
      </c>
      <c r="AK97" s="4">
        <f t="shared" si="56"/>
        <v>205.76624539270298</v>
      </c>
      <c r="AL97">
        <v>139.16882466000001</v>
      </c>
      <c r="AM97" s="4">
        <f t="shared" si="57"/>
        <v>198.57610310107282</v>
      </c>
      <c r="AN97">
        <v>91.979011057000008</v>
      </c>
      <c r="AO97" s="4">
        <f t="shared" si="58"/>
        <v>131.24227805625233</v>
      </c>
      <c r="AP97">
        <v>136.080689433</v>
      </c>
      <c r="AQ97" s="4">
        <f t="shared" si="59"/>
        <v>194.16972932645069</v>
      </c>
      <c r="AR97">
        <v>127.500131626</v>
      </c>
      <c r="AS97" s="4">
        <f t="shared" si="60"/>
        <v>181.92637140552054</v>
      </c>
      <c r="AT97">
        <v>83.138753417999993</v>
      </c>
      <c r="AU97" s="4">
        <f t="shared" si="61"/>
        <v>118.62836170932016</v>
      </c>
      <c r="AV97">
        <v>84.325547933999999</v>
      </c>
      <c r="AW97" s="4">
        <f t="shared" si="62"/>
        <v>120.32176560738974</v>
      </c>
      <c r="AX97">
        <v>108.607471471</v>
      </c>
      <c r="AY97" s="4">
        <f t="shared" si="63"/>
        <v>154.96896309257167</v>
      </c>
      <c r="AZ97">
        <v>101.097580913</v>
      </c>
      <c r="BA97" s="4">
        <f t="shared" si="64"/>
        <v>144.25331032072063</v>
      </c>
      <c r="BB97">
        <v>89.663949970000004</v>
      </c>
      <c r="BC97" s="4">
        <f t="shared" si="65"/>
        <v>127.93898214770016</v>
      </c>
      <c r="BD97">
        <v>102.90787864399999</v>
      </c>
      <c r="BE97" s="4">
        <f t="shared" si="66"/>
        <v>146.83637351574964</v>
      </c>
      <c r="BF97">
        <v>76.993892664000001</v>
      </c>
      <c r="BG97" s="4">
        <f t="shared" si="67"/>
        <v>109.86043178241925</v>
      </c>
      <c r="BH97">
        <v>80.808541771999998</v>
      </c>
      <c r="BI97" s="4">
        <f t="shared" si="68"/>
        <v>115.3034478919197</v>
      </c>
      <c r="BJ97">
        <v>116.42926501700001</v>
      </c>
      <c r="BK97" s="4">
        <f t="shared" si="69"/>
        <v>166.12966151350352</v>
      </c>
      <c r="BL97">
        <v>88.661027915000005</v>
      </c>
      <c r="BM97" s="4">
        <f t="shared" si="70"/>
        <v>126.50794072098283</v>
      </c>
      <c r="BN97">
        <v>92.183203222000003</v>
      </c>
      <c r="BO97" s="4">
        <f t="shared" si="71"/>
        <v>131.53363414486293</v>
      </c>
      <c r="BP97">
        <v>83.944183346000003</v>
      </c>
      <c r="BQ97" s="4">
        <f t="shared" si="72"/>
        <v>119.7776071442368</v>
      </c>
      <c r="BR97">
        <v>85.834610459000004</v>
      </c>
      <c r="BS97" s="4">
        <f t="shared" si="73"/>
        <v>122.47500471307642</v>
      </c>
      <c r="BT97">
        <v>113.970803491</v>
      </c>
      <c r="BU97" s="4">
        <f t="shared" si="74"/>
        <v>162.62175152971449</v>
      </c>
      <c r="BV97">
        <v>122.45700645399999</v>
      </c>
      <c r="BW97" s="4">
        <f t="shared" si="75"/>
        <v>174.73047716301838</v>
      </c>
      <c r="BX97">
        <v>126.188070771</v>
      </c>
      <c r="BY97" s="4">
        <f t="shared" si="76"/>
        <v>180.05422847226023</v>
      </c>
      <c r="BZ97">
        <v>111.944613453</v>
      </c>
      <c r="CA97" s="4">
        <f t="shared" si="77"/>
        <v>159.73063764072941</v>
      </c>
      <c r="CB97">
        <v>108.247751941</v>
      </c>
      <c r="CC97" s="4">
        <f t="shared" si="78"/>
        <v>154.45568935722713</v>
      </c>
      <c r="CD97">
        <v>113.766318326</v>
      </c>
      <c r="CE97" s="4">
        <f t="shared" si="79"/>
        <v>162.32997736759964</v>
      </c>
    </row>
    <row r="98" spans="1:83" x14ac:dyDescent="0.2">
      <c r="A98" s="2">
        <v>42100</v>
      </c>
      <c r="B98">
        <v>2022</v>
      </c>
      <c r="C98">
        <v>12</v>
      </c>
      <c r="D98">
        <v>70.750166412999988</v>
      </c>
      <c r="E98" s="4">
        <f t="shared" si="40"/>
        <v>8.4058587240506579</v>
      </c>
      <c r="F98">
        <v>77.650266645000002</v>
      </c>
      <c r="G98" s="4">
        <f t="shared" si="41"/>
        <v>9.225662700106378</v>
      </c>
      <c r="H98">
        <v>95.348209854999993</v>
      </c>
      <c r="I98" s="4">
        <f t="shared" si="42"/>
        <v>11.328363200641123</v>
      </c>
      <c r="J98">
        <v>64.310716158999995</v>
      </c>
      <c r="K98" s="4">
        <f t="shared" si="43"/>
        <v>7.6407847766665542</v>
      </c>
      <c r="L98">
        <v>98.512365811999999</v>
      </c>
      <c r="M98" s="4">
        <f t="shared" si="44"/>
        <v>11.704297976541779</v>
      </c>
      <c r="N98">
        <v>55.967612983000002</v>
      </c>
      <c r="O98" s="4">
        <f t="shared" si="45"/>
        <v>6.6495369793363128</v>
      </c>
      <c r="P98">
        <v>30.011627437000001</v>
      </c>
      <c r="Q98" s="4">
        <f t="shared" si="46"/>
        <v>3.5656947976861653</v>
      </c>
      <c r="R98">
        <v>47.442100043000003</v>
      </c>
      <c r="S98" s="4">
        <f t="shared" si="47"/>
        <v>5.6366169968535891</v>
      </c>
      <c r="T98">
        <v>45.172060967999997</v>
      </c>
      <c r="U98" s="4">
        <f t="shared" si="48"/>
        <v>5.3669126451897808</v>
      </c>
      <c r="V98">
        <v>32.655686379000002</v>
      </c>
      <c r="W98" s="4">
        <f t="shared" si="49"/>
        <v>3.8798366160216062</v>
      </c>
      <c r="X98">
        <v>59.847507473</v>
      </c>
      <c r="Y98" s="4">
        <f t="shared" si="50"/>
        <v>7.1105089685296825</v>
      </c>
      <c r="Z98">
        <v>55.706596382999997</v>
      </c>
      <c r="AA98" s="4">
        <f t="shared" si="51"/>
        <v>6.6185254810534069</v>
      </c>
      <c r="AB98">
        <v>32.718028549000003</v>
      </c>
      <c r="AC98" s="4">
        <f t="shared" si="52"/>
        <v>3.8872435169539901</v>
      </c>
      <c r="AD98">
        <v>72.881893163000001</v>
      </c>
      <c r="AE98" s="4">
        <f t="shared" si="53"/>
        <v>8.6591301268934249</v>
      </c>
      <c r="AF98">
        <v>52.257899288999987</v>
      </c>
      <c r="AG98" s="4">
        <f t="shared" si="54"/>
        <v>6.208784246170862</v>
      </c>
      <c r="AH98">
        <v>35.315315730999998</v>
      </c>
      <c r="AI98" s="4">
        <f t="shared" si="55"/>
        <v>4.1958283616910901</v>
      </c>
      <c r="AJ98">
        <v>59.158329004999999</v>
      </c>
      <c r="AK98" s="4">
        <f t="shared" si="56"/>
        <v>7.028627368367097</v>
      </c>
      <c r="AL98">
        <v>45.924509524999998</v>
      </c>
      <c r="AM98" s="4">
        <f t="shared" si="57"/>
        <v>5.456311392753654</v>
      </c>
      <c r="AN98">
        <v>38.282486919999997</v>
      </c>
      <c r="AO98" s="4">
        <f t="shared" si="58"/>
        <v>4.5483592897345968</v>
      </c>
      <c r="AP98">
        <v>62.650381088000003</v>
      </c>
      <c r="AQ98" s="4">
        <f t="shared" si="59"/>
        <v>7.4435196287665191</v>
      </c>
      <c r="AR98">
        <v>35.953294995999997</v>
      </c>
      <c r="AS98" s="4">
        <f t="shared" si="60"/>
        <v>4.2716269617842526</v>
      </c>
      <c r="AT98">
        <v>7.144142628</v>
      </c>
      <c r="AU98" s="4">
        <f t="shared" si="61"/>
        <v>0.8487987616153736</v>
      </c>
      <c r="AV98">
        <v>18.087039470000001</v>
      </c>
      <c r="AW98" s="4">
        <f t="shared" si="62"/>
        <v>2.1489292001610334</v>
      </c>
      <c r="AX98">
        <v>17.459763049999999</v>
      </c>
      <c r="AY98" s="4">
        <f t="shared" si="63"/>
        <v>2.0744022098403518</v>
      </c>
      <c r="AZ98">
        <v>15.654165269</v>
      </c>
      <c r="BA98" s="4">
        <f t="shared" si="64"/>
        <v>1.859878334787578</v>
      </c>
      <c r="BB98">
        <v>20.247097492999998</v>
      </c>
      <c r="BC98" s="4">
        <f t="shared" si="65"/>
        <v>2.405566654143811</v>
      </c>
      <c r="BD98">
        <v>24.647749901000001</v>
      </c>
      <c r="BE98" s="4">
        <f t="shared" si="66"/>
        <v>2.9284101230816368</v>
      </c>
      <c r="BF98">
        <v>20.325289010999999</v>
      </c>
      <c r="BG98" s="4">
        <f t="shared" si="67"/>
        <v>2.4148566231580224</v>
      </c>
      <c r="BH98">
        <v>16.515802620999999</v>
      </c>
      <c r="BI98" s="4">
        <f t="shared" si="68"/>
        <v>1.9622498516261062</v>
      </c>
      <c r="BJ98">
        <v>13.900605200999999</v>
      </c>
      <c r="BK98" s="4">
        <f t="shared" si="69"/>
        <v>1.6515370835500935</v>
      </c>
      <c r="BL98">
        <v>10.190329194</v>
      </c>
      <c r="BM98" s="4">
        <f t="shared" si="70"/>
        <v>1.2107175417271343</v>
      </c>
      <c r="BN98">
        <v>18.889034985999999</v>
      </c>
      <c r="BO98" s="4">
        <f t="shared" si="71"/>
        <v>2.2442146439501718</v>
      </c>
      <c r="BP98">
        <v>17.869998216999999</v>
      </c>
      <c r="BQ98" s="4">
        <f t="shared" si="72"/>
        <v>2.1231424324047712</v>
      </c>
      <c r="BR98">
        <v>1.246364772</v>
      </c>
      <c r="BS98" s="4">
        <f t="shared" si="73"/>
        <v>0.14808115264221561</v>
      </c>
      <c r="BT98">
        <v>30.142449854999999</v>
      </c>
      <c r="BU98" s="4">
        <f t="shared" si="74"/>
        <v>3.5812378673268417</v>
      </c>
      <c r="BV98">
        <v>16.092325806000002</v>
      </c>
      <c r="BW98" s="4">
        <f t="shared" si="75"/>
        <v>1.9119363829761322</v>
      </c>
      <c r="BX98">
        <v>13.773418546</v>
      </c>
      <c r="BY98" s="4">
        <f t="shared" si="76"/>
        <v>1.6364259805277532</v>
      </c>
      <c r="BZ98">
        <v>5.0895470830000002</v>
      </c>
      <c r="CA98" s="4">
        <f t="shared" si="77"/>
        <v>0.60469135152791875</v>
      </c>
      <c r="CB98">
        <v>2.1959285730000002</v>
      </c>
      <c r="CC98" s="4">
        <f t="shared" si="78"/>
        <v>0.26089924997480252</v>
      </c>
      <c r="CD98">
        <v>1.8539706389999999</v>
      </c>
      <c r="CE98" s="4">
        <f t="shared" si="79"/>
        <v>0.22027107581627398</v>
      </c>
    </row>
  </sheetData>
  <mergeCells count="45">
    <mergeCell ref="T1:U1"/>
    <mergeCell ref="A1:A2"/>
    <mergeCell ref="B1:B2"/>
    <mergeCell ref="C1:C2"/>
    <mergeCell ref="D1:E1"/>
    <mergeCell ref="F1:G1"/>
    <mergeCell ref="H1:I1"/>
    <mergeCell ref="J1:K1"/>
    <mergeCell ref="L1:M1"/>
    <mergeCell ref="N1:O1"/>
    <mergeCell ref="P1:Q1"/>
    <mergeCell ref="R1:S1"/>
    <mergeCell ref="AR1:AS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BP1:BQ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CD1:CE1"/>
    <mergeCell ref="CF1:CG1"/>
    <mergeCell ref="CH2:CI2"/>
    <mergeCell ref="BR1:BS1"/>
    <mergeCell ref="BT1:BU1"/>
    <mergeCell ref="BV1:BW1"/>
    <mergeCell ref="BX1:BY1"/>
    <mergeCell ref="BZ1:CA1"/>
    <mergeCell ref="CB1:C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FCA0-1128-47C0-AF72-BFF363C0CF60}">
  <dimension ref="A1:CF98"/>
  <sheetViews>
    <sheetView workbookViewId="0">
      <selection activeCell="E3" sqref="E3"/>
    </sheetView>
  </sheetViews>
  <sheetFormatPr baseColWidth="10" defaultColWidth="8.83203125" defaultRowHeight="15" x14ac:dyDescent="0.2"/>
  <cols>
    <col min="1" max="1" width="15.5" bestFit="1" customWidth="1"/>
    <col min="5" max="5" width="8.6640625" style="4"/>
    <col min="7" max="7" width="8.6640625" style="4"/>
    <col min="9" max="9" width="8.6640625" style="4"/>
    <col min="11" max="11" width="8.6640625" style="4"/>
    <col min="13" max="13" width="8.6640625" style="4"/>
    <col min="15" max="15" width="8.6640625" style="4"/>
    <col min="17" max="17" width="8.6640625" style="4"/>
    <col min="19" max="19" width="8.6640625" style="4"/>
    <col min="21" max="21" width="8.6640625" style="4"/>
    <col min="23" max="23" width="8.6640625" style="4"/>
    <col min="25" max="25" width="8.6640625" style="4"/>
    <col min="27" max="27" width="8.6640625" style="4"/>
    <col min="29" max="29" width="8.6640625" style="4"/>
    <col min="31" max="31" width="8.6640625" style="4"/>
    <col min="33" max="33" width="8.6640625" style="4"/>
    <col min="35" max="35" width="8.6640625" style="4"/>
    <col min="37" max="37" width="8.6640625" style="4"/>
    <col min="39" max="39" width="8.6640625" style="4"/>
    <col min="41" max="41" width="8.6640625" style="4"/>
    <col min="43" max="43" width="8.6640625" style="4"/>
    <col min="45" max="45" width="8.6640625" style="4"/>
    <col min="47" max="47" width="8.6640625" style="4"/>
    <col min="49" max="49" width="8.6640625" style="4"/>
    <col min="51" max="51" width="8.6640625" style="4"/>
    <col min="53" max="53" width="8.6640625" style="4"/>
    <col min="55" max="55" width="8.6640625" style="4"/>
    <col min="57" max="57" width="8.6640625" style="4"/>
    <col min="59" max="59" width="8.6640625" style="4"/>
    <col min="61" max="61" width="8.6640625" style="4"/>
    <col min="63" max="63" width="8.6640625" style="4"/>
    <col min="65" max="65" width="8.6640625" style="4"/>
    <col min="67" max="67" width="8.6640625" style="4"/>
    <col min="69" max="69" width="8.6640625" style="4"/>
    <col min="71" max="71" width="8.6640625" style="4"/>
    <col min="73" max="73" width="8.6640625" style="4"/>
    <col min="75" max="75" width="8.6640625" style="4"/>
    <col min="77" max="77" width="8.6640625" style="4"/>
    <col min="79" max="79" width="8.6640625" style="4"/>
    <col min="81" max="81" width="8.6640625" style="4"/>
    <col min="83" max="83" width="8.6640625" style="4"/>
  </cols>
  <sheetData>
    <row r="1" spans="1:84" x14ac:dyDescent="0.2">
      <c r="A1" s="18" t="s">
        <v>0</v>
      </c>
      <c r="B1" s="18" t="s">
        <v>1</v>
      </c>
      <c r="C1" s="18" t="s">
        <v>2</v>
      </c>
      <c r="D1" s="14" t="s">
        <v>3</v>
      </c>
      <c r="E1" s="14"/>
      <c r="F1" s="14" t="s">
        <v>4</v>
      </c>
      <c r="G1" s="14"/>
      <c r="H1" s="14" t="s">
        <v>5</v>
      </c>
      <c r="I1" s="14"/>
      <c r="J1" s="14" t="s">
        <v>6</v>
      </c>
      <c r="K1" s="14"/>
      <c r="L1" s="14" t="s">
        <v>7</v>
      </c>
      <c r="M1" s="14"/>
      <c r="N1" s="14" t="s">
        <v>8</v>
      </c>
      <c r="O1" s="14"/>
      <c r="P1" s="14" t="s">
        <v>9</v>
      </c>
      <c r="Q1" s="14"/>
      <c r="R1" s="14" t="s">
        <v>10</v>
      </c>
      <c r="S1" s="14"/>
      <c r="T1" s="14" t="s">
        <v>11</v>
      </c>
      <c r="U1" s="14"/>
      <c r="V1" s="16" t="s">
        <v>12</v>
      </c>
      <c r="W1" s="17"/>
      <c r="X1" s="14" t="s">
        <v>13</v>
      </c>
      <c r="Y1" s="14"/>
      <c r="Z1" s="14" t="s">
        <v>13</v>
      </c>
      <c r="AA1" s="14"/>
      <c r="AB1" s="16" t="s">
        <v>13</v>
      </c>
      <c r="AC1" s="17"/>
      <c r="AD1" s="14" t="s">
        <v>14</v>
      </c>
      <c r="AE1" s="14"/>
      <c r="AF1" s="14" t="s">
        <v>14</v>
      </c>
      <c r="AG1" s="14"/>
      <c r="AH1" s="14" t="s">
        <v>15</v>
      </c>
      <c r="AI1" s="14"/>
      <c r="AJ1" s="14" t="s">
        <v>16</v>
      </c>
      <c r="AK1" s="14"/>
      <c r="AL1" s="14" t="s">
        <v>17</v>
      </c>
      <c r="AM1" s="14"/>
      <c r="AN1" s="14" t="s">
        <v>18</v>
      </c>
      <c r="AO1" s="14"/>
      <c r="AP1" s="14" t="s">
        <v>19</v>
      </c>
      <c r="AQ1" s="14"/>
      <c r="AR1" s="14" t="s">
        <v>20</v>
      </c>
      <c r="AS1" s="14"/>
      <c r="AT1" s="14" t="s">
        <v>21</v>
      </c>
      <c r="AU1" s="14"/>
      <c r="AV1" s="14" t="s">
        <v>22</v>
      </c>
      <c r="AW1" s="14"/>
      <c r="AX1" s="14" t="s">
        <v>23</v>
      </c>
      <c r="AY1" s="14"/>
      <c r="AZ1" s="14" t="s">
        <v>24</v>
      </c>
      <c r="BA1" s="14"/>
      <c r="BB1" s="14" t="s">
        <v>25</v>
      </c>
      <c r="BC1" s="14"/>
      <c r="BD1" s="14" t="s">
        <v>26</v>
      </c>
      <c r="BE1" s="14"/>
      <c r="BF1" s="14" t="s">
        <v>27</v>
      </c>
      <c r="BG1" s="14"/>
      <c r="BH1" s="14" t="s">
        <v>28</v>
      </c>
      <c r="BI1" s="14"/>
      <c r="BJ1" s="14" t="s">
        <v>29</v>
      </c>
      <c r="BK1" s="14"/>
      <c r="BL1" s="14" t="s">
        <v>30</v>
      </c>
      <c r="BM1" s="14"/>
      <c r="BN1" s="14" t="s">
        <v>31</v>
      </c>
      <c r="BO1" s="14"/>
      <c r="BP1" s="14" t="s">
        <v>32</v>
      </c>
      <c r="BQ1" s="14"/>
      <c r="BR1" s="14" t="s">
        <v>33</v>
      </c>
      <c r="BS1" s="14"/>
      <c r="BT1" s="14" t="s">
        <v>34</v>
      </c>
      <c r="BU1" s="14"/>
      <c r="BV1" s="14" t="s">
        <v>35</v>
      </c>
      <c r="BW1" s="14"/>
      <c r="BX1" s="14" t="s">
        <v>36</v>
      </c>
      <c r="BY1" s="14"/>
      <c r="BZ1" s="14" t="s">
        <v>37</v>
      </c>
      <c r="CA1" s="14"/>
      <c r="CB1" s="14" t="s">
        <v>38</v>
      </c>
      <c r="CC1" s="14"/>
      <c r="CD1" s="14" t="s">
        <v>39</v>
      </c>
      <c r="CE1" s="14"/>
      <c r="CF1" s="18" t="s">
        <v>78</v>
      </c>
    </row>
    <row r="2" spans="1:84" x14ac:dyDescent="0.2">
      <c r="A2" s="19"/>
      <c r="B2" s="19"/>
      <c r="C2" s="19"/>
      <c r="D2" s="1" t="s">
        <v>41</v>
      </c>
      <c r="E2" s="3" t="s">
        <v>44</v>
      </c>
      <c r="F2" s="1" t="s">
        <v>41</v>
      </c>
      <c r="G2" s="3" t="s">
        <v>44</v>
      </c>
      <c r="H2" s="1" t="s">
        <v>41</v>
      </c>
      <c r="I2" s="3" t="s">
        <v>44</v>
      </c>
      <c r="J2" s="1" t="s">
        <v>41</v>
      </c>
      <c r="K2" s="3" t="s">
        <v>44</v>
      </c>
      <c r="L2" s="1" t="s">
        <v>41</v>
      </c>
      <c r="M2" s="3" t="s">
        <v>44</v>
      </c>
      <c r="N2" s="1" t="s">
        <v>41</v>
      </c>
      <c r="O2" s="3" t="s">
        <v>44</v>
      </c>
      <c r="P2" s="1" t="s">
        <v>41</v>
      </c>
      <c r="Q2" s="3" t="s">
        <v>44</v>
      </c>
      <c r="R2" s="1" t="s">
        <v>41</v>
      </c>
      <c r="S2" s="3" t="s">
        <v>44</v>
      </c>
      <c r="T2" s="1" t="s">
        <v>41</v>
      </c>
      <c r="U2" s="3" t="s">
        <v>44</v>
      </c>
      <c r="V2" s="1" t="s">
        <v>41</v>
      </c>
      <c r="W2" s="3" t="s">
        <v>44</v>
      </c>
      <c r="X2" s="1" t="s">
        <v>41</v>
      </c>
      <c r="Y2" s="3" t="s">
        <v>44</v>
      </c>
      <c r="Z2" s="1" t="s">
        <v>41</v>
      </c>
      <c r="AA2" s="3" t="s">
        <v>44</v>
      </c>
      <c r="AB2" s="1" t="s">
        <v>41</v>
      </c>
      <c r="AC2" s="3" t="s">
        <v>44</v>
      </c>
      <c r="AD2" s="1" t="s">
        <v>41</v>
      </c>
      <c r="AE2" s="3" t="s">
        <v>44</v>
      </c>
      <c r="AF2" s="1" t="s">
        <v>41</v>
      </c>
      <c r="AG2" s="3" t="s">
        <v>44</v>
      </c>
      <c r="AH2" s="1" t="s">
        <v>41</v>
      </c>
      <c r="AI2" s="3" t="s">
        <v>44</v>
      </c>
      <c r="AJ2" s="1" t="s">
        <v>41</v>
      </c>
      <c r="AK2" s="3" t="s">
        <v>44</v>
      </c>
      <c r="AL2" s="1" t="s">
        <v>41</v>
      </c>
      <c r="AM2" s="3" t="s">
        <v>44</v>
      </c>
      <c r="AN2" s="1" t="s">
        <v>41</v>
      </c>
      <c r="AO2" s="3" t="s">
        <v>44</v>
      </c>
      <c r="AP2" s="1" t="s">
        <v>41</v>
      </c>
      <c r="AQ2" s="3" t="s">
        <v>44</v>
      </c>
      <c r="AR2" s="1" t="s">
        <v>41</v>
      </c>
      <c r="AS2" s="3" t="s">
        <v>44</v>
      </c>
      <c r="AT2" s="1" t="s">
        <v>41</v>
      </c>
      <c r="AU2" s="3" t="s">
        <v>44</v>
      </c>
      <c r="AV2" s="1" t="s">
        <v>41</v>
      </c>
      <c r="AW2" s="3" t="s">
        <v>44</v>
      </c>
      <c r="AX2" s="1" t="s">
        <v>41</v>
      </c>
      <c r="AY2" s="3" t="s">
        <v>44</v>
      </c>
      <c r="AZ2" s="1" t="s">
        <v>41</v>
      </c>
      <c r="BA2" s="3" t="s">
        <v>44</v>
      </c>
      <c r="BB2" s="1" t="s">
        <v>41</v>
      </c>
      <c r="BC2" s="3" t="s">
        <v>44</v>
      </c>
      <c r="BD2" s="1" t="s">
        <v>41</v>
      </c>
      <c r="BE2" s="3" t="s">
        <v>44</v>
      </c>
      <c r="BF2" s="1" t="s">
        <v>41</v>
      </c>
      <c r="BG2" s="3" t="s">
        <v>44</v>
      </c>
      <c r="BH2" s="1" t="s">
        <v>41</v>
      </c>
      <c r="BI2" s="3" t="s">
        <v>44</v>
      </c>
      <c r="BJ2" s="1" t="s">
        <v>41</v>
      </c>
      <c r="BK2" s="3" t="s">
        <v>44</v>
      </c>
      <c r="BL2" s="1" t="s">
        <v>41</v>
      </c>
      <c r="BM2" s="3" t="s">
        <v>44</v>
      </c>
      <c r="BN2" s="1" t="s">
        <v>41</v>
      </c>
      <c r="BO2" s="3" t="s">
        <v>44</v>
      </c>
      <c r="BP2" s="1" t="s">
        <v>41</v>
      </c>
      <c r="BQ2" s="3" t="s">
        <v>44</v>
      </c>
      <c r="BR2" s="1" t="s">
        <v>41</v>
      </c>
      <c r="BS2" s="3" t="s">
        <v>44</v>
      </c>
      <c r="BT2" s="1" t="s">
        <v>41</v>
      </c>
      <c r="BU2" s="3" t="s">
        <v>44</v>
      </c>
      <c r="BV2" s="1" t="s">
        <v>41</v>
      </c>
      <c r="BW2" s="3" t="s">
        <v>44</v>
      </c>
      <c r="BX2" s="1" t="s">
        <v>41</v>
      </c>
      <c r="BY2" s="3" t="s">
        <v>44</v>
      </c>
      <c r="BZ2" s="1" t="s">
        <v>41</v>
      </c>
      <c r="CA2" s="3" t="s">
        <v>44</v>
      </c>
      <c r="CB2" s="1" t="s">
        <v>41</v>
      </c>
      <c r="CC2" s="3" t="s">
        <v>44</v>
      </c>
      <c r="CD2" s="1" t="s">
        <v>41</v>
      </c>
      <c r="CE2" s="3" t="s">
        <v>44</v>
      </c>
      <c r="CF2" s="18"/>
    </row>
    <row r="3" spans="1:84" x14ac:dyDescent="0.2">
      <c r="A3" s="2">
        <v>42005</v>
      </c>
      <c r="B3">
        <v>2015</v>
      </c>
      <c r="C3">
        <v>1</v>
      </c>
      <c r="D3">
        <v>95.801454230429997</v>
      </c>
      <c r="E3" s="4">
        <f>IF(D3 &lt; 250, (D3  * (125 - 0.2 * D3 )) / 125, 125 + 0.1 * D3 )</f>
        <v>81.116784418165707</v>
      </c>
      <c r="F3">
        <v>97.010896972049991</v>
      </c>
      <c r="G3" s="4">
        <f>IF(F3&lt; 250,(F3*(125-0.2*F3))/125,125+0.1*F3 )</f>
        <v>81.953114361935278</v>
      </c>
      <c r="H3">
        <v>123.5362948053</v>
      </c>
      <c r="I3" s="4">
        <f>IF(H3&lt; 250,(H3*(125-0.2*H3))/125,125+0.1*H3 )</f>
        <v>99.118348990544803</v>
      </c>
      <c r="J3">
        <v>96.285773572050005</v>
      </c>
      <c r="K3" s="4">
        <f>IF(J3&lt; 250,(J3*(125-0.2*J3))/125,125+0.1*J3 )</f>
        <v>81.45225326426106</v>
      </c>
      <c r="L3">
        <v>131.2386911799</v>
      </c>
      <c r="M3" s="4">
        <f>IF(L3&lt; 250,(L3*(125-0.2*L3))/125,125+0.1*L3 )</f>
        <v>103.68094067971894</v>
      </c>
      <c r="N3">
        <v>93.758233599569991</v>
      </c>
      <c r="O3" s="4">
        <f>IF(N3&lt; 250,(N3*(125-0.2*N3))/125,125+0.1*N3 )</f>
        <v>79.693263411231541</v>
      </c>
      <c r="P3">
        <v>37.624517786309987</v>
      </c>
      <c r="Q3" s="4">
        <f>IF(P3&lt; 250,(P3*(125-0.2*P3))/125,125+0.1*P3 )</f>
        <v>35.35955084446622</v>
      </c>
      <c r="R3">
        <v>75.684493290599988</v>
      </c>
      <c r="S3" s="4">
        <f>IF(R3&lt; 250,(R3*(125-0.2*R3))/125,125+0.1*R3 )</f>
        <v>66.519465251152184</v>
      </c>
      <c r="T3">
        <v>54.530578170299989</v>
      </c>
      <c r="U3" s="4">
        <f>IF(T3&lt; 250,(T3*(125-0.2*T3))/125,125+0.1*T3 )</f>
        <v>49.772843841360476</v>
      </c>
      <c r="V3">
        <v>32.999790687465001</v>
      </c>
      <c r="W3" s="4">
        <f>IF(V3&lt; 250,(V3*(125-0.2*V3))/125,125+0.1*V3 )</f>
        <v>31.257412790798597</v>
      </c>
      <c r="X3">
        <v>67.292091445199986</v>
      </c>
      <c r="Y3" s="4">
        <f>IF(X3&lt; 250,(X3*(125-0.2*X3))/125,125+0.1*X3 )</f>
        <v>60.046930531489338</v>
      </c>
      <c r="Z3">
        <v>32.877303021089993</v>
      </c>
      <c r="AA3" s="4">
        <f>IF(Z3&lt; 250,(Z3*(125-0.2*Z3))/125,125+0.1*Z3 )</f>
        <v>31.147835734785076</v>
      </c>
      <c r="AB3">
        <v>9.0708102275099982</v>
      </c>
      <c r="AC3" s="4">
        <f>IF(AB3&lt; 250,(AB3*(125-0.2*AB3))/125,125+0.1*AB3 )</f>
        <v>8.9391628704163981</v>
      </c>
      <c r="AD3">
        <v>65.894248779600005</v>
      </c>
      <c r="AE3" s="4">
        <f>IF(AD3&lt; 250,(AD3*(125-0.2*AD3))/125,125+0.1*AD3 )</f>
        <v>58.9469655440355</v>
      </c>
      <c r="AF3">
        <v>29.36264671296</v>
      </c>
      <c r="AG3" s="4">
        <f>IF(AF3&lt; 250,(AF3*(125-0.2*AF3))/125,125+0.1*AF3 )</f>
        <v>27.98318267777584</v>
      </c>
      <c r="AH3">
        <v>2.4018223444500002</v>
      </c>
      <c r="AI3" s="4">
        <f>IF(AH3&lt; 250,(AH3*(125-0.2*AH3))/125,125+0.1*AH3 )</f>
        <v>2.3925923435311214</v>
      </c>
      <c r="AJ3">
        <v>70.52986552035</v>
      </c>
      <c r="AK3" s="4">
        <f>IF(AJ3&lt; 250,(AJ3*(125-0.2*AJ3))/125,125+0.1*AJ3 )</f>
        <v>62.57072643184015</v>
      </c>
      <c r="AL3">
        <v>48.018763220339999</v>
      </c>
      <c r="AM3" s="4">
        <f>IF(AL3&lt; 250,(AL3*(125-0.2*AL3))/125,125+0.1*AL3 )</f>
        <v>44.32948062640228</v>
      </c>
      <c r="AN3">
        <v>24.6208181547</v>
      </c>
      <c r="AO3" s="4">
        <f>IF(AN3&lt; 250,(AN3*(125-0.2*AN3))/125,125+0.1*AN3 )</f>
        <v>23.650922656129111</v>
      </c>
      <c r="AP3">
        <v>73.139273904899994</v>
      </c>
      <c r="AQ3" s="4">
        <f>IF(AP3&lt; 250,(AP3*(125-0.2*AP3))/125,125+0.1*AP3 )</f>
        <v>64.580308485162419</v>
      </c>
      <c r="AR3">
        <v>57.418220124705002</v>
      </c>
      <c r="AS3" s="4">
        <f>IF(AR3&lt; 250,(AR3*(125-0.2*AR3))/125,125+0.1*AR3 )</f>
        <v>52.143256921042479</v>
      </c>
      <c r="AT3">
        <v>13.313076024480001</v>
      </c>
      <c r="AU3" s="4">
        <f>IF(AT3&lt; 250,(AT3*(125-0.2*AT3))/125,125+0.1*AT3 )</f>
        <v>13.029495235306266</v>
      </c>
      <c r="AV3">
        <v>11.27335525164</v>
      </c>
      <c r="AW3" s="4">
        <f>IF(AV3&lt; 250,(AV3*(125-0.2*AV3))/125,125+0.1*AV3 )</f>
        <v>11.070013589832513</v>
      </c>
      <c r="AX3">
        <v>19.022212171500001</v>
      </c>
      <c r="AY3" s="4">
        <f>IF(AX3&lt; 250,(AX3*(125-0.2*AX3))/125,125+0.1*AX3 )</f>
        <v>18.4432608820639</v>
      </c>
      <c r="AZ3">
        <v>17.47636502109</v>
      </c>
      <c r="BA3" s="4">
        <f>IF(AZ3&lt; 250,(AZ3*(125-0.2*AZ3))/125,125+0.1*AZ3 )</f>
        <v>16.987687686129394</v>
      </c>
      <c r="BB3">
        <v>20.064260010840002</v>
      </c>
      <c r="BC3" s="4">
        <f>IF(BB3&lt; 250,(BB3*(125-0.2*BB3))/125,125+0.1*BB3 )</f>
        <v>19.420140763187852</v>
      </c>
      <c r="BD3">
        <v>15.11194797189</v>
      </c>
      <c r="BE3" s="4">
        <f>IF(BD3&lt; 250,(BD3*(125-0.2*BD3))/125,125+0.1*BD3 )</f>
        <v>14.746554417481825</v>
      </c>
      <c r="BF3">
        <v>13.84341576387</v>
      </c>
      <c r="BG3" s="4">
        <f>IF(BF3&lt; 250,(BF3*(125-0.2*BF3))/125,125+0.1*BF3 )</f>
        <v>13.536791507851817</v>
      </c>
      <c r="BH3">
        <v>12.15915679782</v>
      </c>
      <c r="BI3" s="4">
        <f>IF(BH3&lt; 250,(BH3*(125-0.2*BH3))/125,125+0.1*BH3 )</f>
        <v>11.922604647365644</v>
      </c>
      <c r="BJ3">
        <v>17.593260797925002</v>
      </c>
      <c r="BK3" s="4">
        <f>IF(BJ3&lt; 250,(BJ3*(125-0.2*BJ3))/125,125+0.1*BJ3 )</f>
        <v>17.098024277118917</v>
      </c>
      <c r="BL3">
        <v>14.798539384230001</v>
      </c>
      <c r="BM3" s="4">
        <f>IF(BL3&lt; 250,(BL3*(125-0.2*BL3))/125,125+0.1*BL3 )</f>
        <v>14.448144555579431</v>
      </c>
      <c r="BN3">
        <v>15.899935657185001</v>
      </c>
      <c r="BO3" s="4">
        <f>IF(BN3&lt; 250,(BN3*(125-0.2*BN3))/125,125+0.1*BN3 )</f>
        <v>15.495442930940804</v>
      </c>
      <c r="BP3">
        <v>17.733788094705002</v>
      </c>
      <c r="BQ3" s="4">
        <f>IF(BP3&lt; 250,(BP3*(125-0.2*BP3))/125,125+0.1*BP3 )</f>
        <v>17.230608510404359</v>
      </c>
      <c r="BR3">
        <v>10.48256789583</v>
      </c>
      <c r="BS3" s="4">
        <f>IF(BR3&lt; 250,(BR3*(125-0.2*BR3))/125,125+0.1*BR3 )</f>
        <v>10.306753128324903</v>
      </c>
      <c r="BT3">
        <v>26.102805633509998</v>
      </c>
      <c r="BU3" s="4">
        <f>IF(BT3&lt; 250,(BT3*(125-0.2*BT3))/125,125+0.1*BT3 )</f>
        <v>25.012635294404717</v>
      </c>
      <c r="BV3">
        <v>28.526271641969998</v>
      </c>
      <c r="BW3" s="4">
        <f>IF(BV3&lt; 250,(BV3*(125-0.2*BV3))/125,125+0.1*BV3 )</f>
        <v>27.224274563903659</v>
      </c>
      <c r="BX3">
        <v>10.17503734476</v>
      </c>
      <c r="BY3" s="4">
        <f>IF(BX3&lt; 250,(BX3*(125-0.2*BX3))/125,125+0.1*BX3 )</f>
        <v>10.009387128812383</v>
      </c>
      <c r="BZ3">
        <v>10.317788824140001</v>
      </c>
      <c r="CA3" s="4">
        <f>IF(BZ3&lt; 250,(BZ3*(125-0.2*BZ3))/125,125+0.1*BZ3 )</f>
        <v>10.147457998188724</v>
      </c>
      <c r="CB3">
        <v>11.35599310269</v>
      </c>
      <c r="CC3" s="4">
        <f>IF(CB3&lt; 250,(CB3*(125-0.2*CB3))/125,125+0.1*CB3 )</f>
        <v>11.149659375732652</v>
      </c>
      <c r="CD3">
        <v>15.612789877319999</v>
      </c>
      <c r="CE3" s="4">
        <f>IF(CD3&lt; 250,(CD3*(125-0.2*CD3))/125,125+0.1*CD3 )</f>
        <v>15.222775144914646</v>
      </c>
      <c r="CF3">
        <f>AVERAGE(E3,G3,I3,K3,M3,O3,Q3,S3,Q3,S3,U3,W3,Y3,AA3,AC3,AE3,AG3,AI3,AK3,AM3,AO3,AQ3,AS3,AU3,AW3,AY3,BA3,BC3,BE3,BG3,BI3,BK3,BM3,BO3,BQ3,BS3,BU3,BW3,BY3,CA3,CC3,CE3)</f>
        <v>36.691335009747796</v>
      </c>
    </row>
    <row r="4" spans="1:84" x14ac:dyDescent="0.2">
      <c r="A4" s="2">
        <v>42006</v>
      </c>
      <c r="B4">
        <v>2015</v>
      </c>
      <c r="C4">
        <v>2</v>
      </c>
      <c r="D4">
        <v>3.62927911374</v>
      </c>
      <c r="E4" s="4">
        <f t="shared" ref="E4:E67" si="0">IF(D4 &lt; 250, (D4  * (125 - 0.2 * D4 )) / 125, 125 + 0.1 * D4 )</f>
        <v>3.6082044467233128</v>
      </c>
      <c r="F4">
        <v>4.0565363159160004</v>
      </c>
      <c r="G4" s="4">
        <f t="shared" ref="G4:G67" si="1">IF(F4&lt; 250,(F4*(125-0.2*F4))/125,125+0.1*F4 )</f>
        <v>4.030207536904248</v>
      </c>
      <c r="H4">
        <v>5.0232500040239998</v>
      </c>
      <c r="I4" s="4">
        <f t="shared" ref="I4:I67" si="2">IF(H4&lt; 250,(H4*(125-0.2*H4))/125,125+0.1*H4 )</f>
        <v>4.9828771390593163</v>
      </c>
      <c r="J4">
        <v>3.5831487923280001</v>
      </c>
      <c r="K4" s="4">
        <f t="shared" ref="K4:K67" si="3">IF(J4&lt; 250,(J4*(125-0.2*J4))/125,125+0.1*J4 )</f>
        <v>3.5626064638992614</v>
      </c>
      <c r="L4">
        <v>4.9716676482480002</v>
      </c>
      <c r="M4" s="4">
        <f t="shared" ref="M4:M67" si="4">IF(L4&lt; 250,(L4*(125-0.2*L4))/125,125+0.1*L4 )</f>
        <v>4.9321196815205832</v>
      </c>
      <c r="N4">
        <v>3.493724956596</v>
      </c>
      <c r="O4" s="4">
        <f t="shared" ref="O4:O67" si="5">IF(N4&lt; 250,(N4*(125-0.2*N4))/125,125+0.1*N4 )</f>
        <v>3.4741951740802532</v>
      </c>
      <c r="P4">
        <v>0</v>
      </c>
      <c r="Q4" s="4">
        <f t="shared" ref="Q4:Q67" si="6">IF(P4&lt; 250,(P4*(125-0.2*P4))/125,125+0.1*P4 )</f>
        <v>0</v>
      </c>
      <c r="R4">
        <v>2.632217548212</v>
      </c>
      <c r="S4" s="4">
        <f t="shared" ref="S4:S67" si="7">IF(R4&lt; 250,(R4*(125-0.2*R4))/125,125+0.1*R4 )</f>
        <v>2.6211318374582158</v>
      </c>
      <c r="T4">
        <v>2.3951274890760001</v>
      </c>
      <c r="U4" s="4">
        <f t="shared" ref="U4:U67" si="8">IF(T4&lt; 250,(T4*(125-0.2*T4))/125,125+0.1*T4 )</f>
        <v>2.3859488719737159</v>
      </c>
      <c r="V4">
        <v>1.372000474152</v>
      </c>
      <c r="W4" s="4">
        <f t="shared" ref="W4:W67" si="9">IF(V4&lt; 250,(V4*(125-0.2*V4))/125,125+0.1*V4 )</f>
        <v>1.3689886576702828</v>
      </c>
      <c r="X4">
        <v>2.4375463371000001</v>
      </c>
      <c r="Y4" s="4">
        <f t="shared" ref="Y4:Y67" si="10">IF(X4&lt; 250,(X4*(125-0.2*X4))/125,125+0.1*X4 )</f>
        <v>2.4280397256671851</v>
      </c>
      <c r="Z4">
        <v>1.5051839962319999</v>
      </c>
      <c r="AA4" s="4">
        <f t="shared" ref="AA4:AA67" si="11">IF(Z4&lt; 250,(Z4*(125-0.2*Z4))/125,125+0.1*Z4 )</f>
        <v>1.5015590700519792</v>
      </c>
      <c r="AB4">
        <v>0</v>
      </c>
      <c r="AC4" s="4">
        <f t="shared" ref="AC4:AC67" si="12">IF(AB4&lt; 250,(AB4*(125-0.2*AB4))/125,125+0.1*AB4 )</f>
        <v>0</v>
      </c>
      <c r="AD4">
        <v>2.3872395113280001</v>
      </c>
      <c r="AE4" s="4">
        <f t="shared" ref="AE4:AE67" si="13">IF(AD4&lt; 250,(AD4*(125-0.2*AD4))/125,125+0.1*AD4 )</f>
        <v>2.3781212513528871</v>
      </c>
      <c r="AF4">
        <v>1.359728771184</v>
      </c>
      <c r="AG4" s="4">
        <f t="shared" ref="AG4:AG67" si="14">IF(AF4&lt; 250,(AF4*(125-0.2*AF4))/125,125+0.1*AF4 )</f>
        <v>1.3567705914541031</v>
      </c>
      <c r="AH4">
        <v>0</v>
      </c>
      <c r="AI4" s="4">
        <f t="shared" ref="AI4:AI67" si="15">IF(AH4&lt; 250,(AH4*(125-0.2*AH4))/125,125+0.1*AH4 )</f>
        <v>0</v>
      </c>
      <c r="AJ4">
        <v>2.8299316462199999</v>
      </c>
      <c r="AK4" s="4">
        <f t="shared" ref="AK4:AK67" si="16">IF(AJ4&lt; 250,(AJ4*(125-0.2*AJ4))/125,125+0.1*AJ4 )</f>
        <v>2.8171180252243562</v>
      </c>
      <c r="AL4">
        <v>2.1197899190160001</v>
      </c>
      <c r="AM4" s="4">
        <f t="shared" ref="AM4:AM67" si="17">IF(AL4&lt; 250,(AL4*(125-0.2*AL4))/125,125+0.1*AL4 )</f>
        <v>2.1126003041347814</v>
      </c>
      <c r="AN4">
        <v>1.2761372854440001</v>
      </c>
      <c r="AO4" s="4">
        <f t="shared" ref="AO4:AO67" si="18">IF(AN4&lt; 250,(AN4*(125-0.2*AN4))/125,125+0.1*AN4 )</f>
        <v>1.2735316432499195</v>
      </c>
      <c r="AP4">
        <v>3.093408531108</v>
      </c>
      <c r="AQ4" s="4">
        <f t="shared" ref="AQ4:AQ67" si="19">IF(AP4&lt; 250,(AP4*(125-0.2*AP4))/125,125+0.1*AP4 )</f>
        <v>3.0780978489634694</v>
      </c>
      <c r="AR4">
        <v>2.9847353094720002</v>
      </c>
      <c r="AS4" s="4">
        <f t="shared" ref="AS4:AS67" si="20">IF(AR4&lt; 250,(AR4*(125-0.2*AR4))/125,125+0.1*AR4 )</f>
        <v>2.9704814776838262</v>
      </c>
      <c r="AT4">
        <v>0</v>
      </c>
      <c r="AU4" s="4">
        <f t="shared" ref="AU4:AU67" si="21">IF(AT4&lt; 250,(AT4*(125-0.2*AT4))/125,125+0.1*AT4 )</f>
        <v>0</v>
      </c>
      <c r="AV4">
        <v>0</v>
      </c>
      <c r="AW4" s="4">
        <f t="shared" ref="AW4:AW67" si="22">IF(AV4&lt; 250,(AV4*(125-0.2*AV4))/125,125+0.1*AV4 )</f>
        <v>0</v>
      </c>
      <c r="AX4">
        <v>0</v>
      </c>
      <c r="AY4" s="4">
        <f t="shared" ref="AY4:AY67" si="23">IF(AX4&lt; 250,(AX4*(125-0.2*AX4))/125,125+0.1*AX4 )</f>
        <v>0</v>
      </c>
      <c r="AZ4">
        <v>0</v>
      </c>
      <c r="BA4" s="4">
        <f t="shared" ref="BA4:BA67" si="24">IF(AZ4&lt; 250,(AZ4*(125-0.2*AZ4))/125,125+0.1*AZ4 )</f>
        <v>0</v>
      </c>
      <c r="BB4">
        <v>0</v>
      </c>
      <c r="BC4" s="4">
        <f t="shared" ref="BC4:BC67" si="25">IF(BB4&lt; 250,(BB4*(125-0.2*BB4))/125,125+0.1*BB4 )</f>
        <v>0</v>
      </c>
      <c r="BD4">
        <v>0</v>
      </c>
      <c r="BE4" s="4">
        <f t="shared" ref="BE4:BE67" si="26">IF(BD4&lt; 250,(BD4*(125-0.2*BD4))/125,125+0.1*BD4 )</f>
        <v>0</v>
      </c>
      <c r="BF4">
        <v>0</v>
      </c>
      <c r="BG4" s="4">
        <f t="shared" ref="BG4:BG67" si="27">IF(BF4&lt; 250,(BF4*(125-0.2*BF4))/125,125+0.1*BF4 )</f>
        <v>0</v>
      </c>
      <c r="BH4">
        <v>0</v>
      </c>
      <c r="BI4" s="4">
        <f t="shared" ref="BI4:BI67" si="28">IF(BH4&lt; 250,(BH4*(125-0.2*BH4))/125,125+0.1*BH4 )</f>
        <v>0</v>
      </c>
      <c r="BJ4">
        <v>0</v>
      </c>
      <c r="BK4" s="4">
        <f t="shared" ref="BK4:BK67" si="29">IF(BJ4&lt; 250,(BJ4*(125-0.2*BJ4))/125,125+0.1*BJ4 )</f>
        <v>0</v>
      </c>
      <c r="BL4">
        <v>0</v>
      </c>
      <c r="BM4" s="4">
        <f t="shared" ref="BM4:BM67" si="30">IF(BL4&lt; 250,(BL4*(125-0.2*BL4))/125,125+0.1*BL4 )</f>
        <v>0</v>
      </c>
      <c r="BN4">
        <v>1.359960565572</v>
      </c>
      <c r="BO4" s="4">
        <f t="shared" ref="BO4:BO67" si="31">IF(BN4&lt; 250,(BN4*(125-0.2*BN4))/125,125+0.1*BN4 )</f>
        <v>1.3570013771881426</v>
      </c>
      <c r="BP4">
        <v>1.46615740866</v>
      </c>
      <c r="BQ4" s="4">
        <f t="shared" ref="BQ4:BQ67" si="32">IF(BP4&lt; 250,(BP4*(125-0.2*BP4))/125,125+0.1*BP4 )</f>
        <v>1.4627180205848505</v>
      </c>
      <c r="BR4">
        <v>0</v>
      </c>
      <c r="BS4" s="4">
        <f t="shared" ref="BS4:BS67" si="33">IF(BR4&lt; 250,(BR4*(125-0.2*BR4))/125,125+0.1*BR4 )</f>
        <v>0</v>
      </c>
      <c r="BT4">
        <v>0</v>
      </c>
      <c r="BU4" s="4">
        <f t="shared" ref="BU4:BU67" si="34">IF(BT4&lt; 250,(BT4*(125-0.2*BT4))/125,125+0.1*BT4 )</f>
        <v>0</v>
      </c>
      <c r="BV4">
        <v>0</v>
      </c>
      <c r="BW4" s="4">
        <f t="shared" ref="BW4:BW67" si="35">IF(BV4&lt; 250,(BV4*(125-0.2*BV4))/125,125+0.1*BV4 )</f>
        <v>0</v>
      </c>
      <c r="BX4">
        <v>0</v>
      </c>
      <c r="BY4" s="4">
        <f t="shared" ref="BY4:BY67" si="36">IF(BX4&lt; 250,(BX4*(125-0.2*BX4))/125,125+0.1*BX4 )</f>
        <v>0</v>
      </c>
      <c r="BZ4">
        <v>0</v>
      </c>
      <c r="CA4" s="4">
        <f t="shared" ref="CA4:CA67" si="37">IF(BZ4&lt; 250,(BZ4*(125-0.2*BZ4))/125,125+0.1*BZ4 )</f>
        <v>0</v>
      </c>
      <c r="CB4">
        <v>0</v>
      </c>
      <c r="CC4" s="4">
        <f t="shared" ref="CC4:CC67" si="38">IF(CB4&lt; 250,(CB4*(125-0.2*CB4))/125,125+0.1*CB4 )</f>
        <v>0</v>
      </c>
      <c r="CD4">
        <v>0</v>
      </c>
      <c r="CE4" s="4">
        <f t="shared" ref="CE4:CE67" si="39">IF(CD4&lt; 250,(CD4*(125-0.2*CD4))/125,125+0.1*CD4 )</f>
        <v>0</v>
      </c>
      <c r="CF4">
        <f t="shared" ref="CF4:CF67" si="40">AVERAGE(E4,G4,I4,K4,M4,O4,Q4,S4,Q4,S4,U4,W4,Y4,AA4,AC4,AE4,AG4,AI4,AK4,AM4,AO4,AQ4,AS4,AU4,AW4,AY4,BA4,BC4,BE4,BG4,BI4,BK4,BM4,BO4,BQ4,BS4,BU4,BW4,BY4,CA4,CC4,CE4)</f>
        <v>1.3410345471976879</v>
      </c>
    </row>
    <row r="5" spans="1:84" x14ac:dyDescent="0.2">
      <c r="A5" s="2">
        <v>42007</v>
      </c>
      <c r="B5">
        <v>2015</v>
      </c>
      <c r="C5">
        <v>3</v>
      </c>
      <c r="D5">
        <v>1.46862929826</v>
      </c>
      <c r="E5" s="4">
        <f t="shared" si="0"/>
        <v>1.4651783030348677</v>
      </c>
      <c r="F5">
        <v>1.5517404414</v>
      </c>
      <c r="G5" s="4">
        <f t="shared" si="1"/>
        <v>1.547887803964038</v>
      </c>
      <c r="H5">
        <v>2.09035822383</v>
      </c>
      <c r="I5" s="4">
        <f t="shared" si="2"/>
        <v>2.0833668678237061</v>
      </c>
      <c r="J5">
        <v>1.53938150883</v>
      </c>
      <c r="K5" s="4">
        <f t="shared" si="3"/>
        <v>1.5355899961424357</v>
      </c>
      <c r="L5">
        <v>2.2909503365099999</v>
      </c>
      <c r="M5" s="4">
        <f t="shared" si="4"/>
        <v>2.2825528109990314</v>
      </c>
      <c r="N5">
        <v>1.46699456688</v>
      </c>
      <c r="O5" s="4">
        <f t="shared" si="5"/>
        <v>1.4635512499851913</v>
      </c>
      <c r="P5">
        <v>0.7171412587199999</v>
      </c>
      <c r="Q5" s="4">
        <f t="shared" si="6"/>
        <v>0.71631839218406623</v>
      </c>
      <c r="R5">
        <v>1.04298813342</v>
      </c>
      <c r="S5" s="4">
        <f t="shared" si="7"/>
        <v>1.0412476146256719</v>
      </c>
      <c r="T5">
        <v>0.95576067917999996</v>
      </c>
      <c r="U5" s="4">
        <f t="shared" si="8"/>
        <v>0.9542991136186133</v>
      </c>
      <c r="V5">
        <v>0.74211556427999992</v>
      </c>
      <c r="W5" s="4">
        <f t="shared" si="9"/>
        <v>0.74123438746280534</v>
      </c>
      <c r="X5">
        <v>1.00544660568</v>
      </c>
      <c r="Y5" s="4">
        <f t="shared" si="10"/>
        <v>1.0038291290770025</v>
      </c>
      <c r="Z5">
        <v>0.75396833181</v>
      </c>
      <c r="AA5" s="4">
        <f t="shared" si="11"/>
        <v>0.75305878261740422</v>
      </c>
      <c r="AB5">
        <v>0.45921830184000001</v>
      </c>
      <c r="AC5" s="4">
        <f t="shared" si="12"/>
        <v>0.45888089152200834</v>
      </c>
      <c r="AD5">
        <v>0.97134023664000002</v>
      </c>
      <c r="AE5" s="4">
        <f t="shared" si="13"/>
        <v>0.9698306336714948</v>
      </c>
      <c r="AF5">
        <v>0.72179059977000004</v>
      </c>
      <c r="AG5" s="4">
        <f t="shared" si="14"/>
        <v>0.72095702909813386</v>
      </c>
      <c r="AH5">
        <v>0</v>
      </c>
      <c r="AI5" s="4">
        <f t="shared" si="15"/>
        <v>0</v>
      </c>
      <c r="AJ5">
        <v>1.16023800375</v>
      </c>
      <c r="AK5" s="4">
        <f t="shared" si="16"/>
        <v>1.1580841601894467</v>
      </c>
      <c r="AL5">
        <v>0.89306784152999996</v>
      </c>
      <c r="AM5" s="4">
        <f t="shared" si="17"/>
        <v>0.89179172925867989</v>
      </c>
      <c r="AN5">
        <v>0.64563996077999997</v>
      </c>
      <c r="AO5" s="4">
        <f t="shared" si="18"/>
        <v>0.64497299924567042</v>
      </c>
      <c r="AP5">
        <v>1.3256461858499999</v>
      </c>
      <c r="AQ5" s="4">
        <f t="shared" si="19"/>
        <v>1.3228344453539063</v>
      </c>
      <c r="AR5">
        <v>1.2809818696499999</v>
      </c>
      <c r="AS5" s="4">
        <f t="shared" si="20"/>
        <v>1.2783564063694048</v>
      </c>
      <c r="AT5">
        <v>0.48795482403000001</v>
      </c>
      <c r="AU5" s="4">
        <f t="shared" si="21"/>
        <v>0.48757386417352938</v>
      </c>
      <c r="AV5">
        <v>0.47615645168999998</v>
      </c>
      <c r="AW5" s="4">
        <f t="shared" si="22"/>
        <v>0.47579369174362235</v>
      </c>
      <c r="AX5">
        <v>0.61164693117000002</v>
      </c>
      <c r="AY5" s="4">
        <f t="shared" si="23"/>
        <v>0.61104835202054453</v>
      </c>
      <c r="AZ5">
        <v>0.59113695860999993</v>
      </c>
      <c r="BA5" s="4">
        <f t="shared" si="24"/>
        <v>0.59057784996386442</v>
      </c>
      <c r="BB5">
        <v>0.56209693904999991</v>
      </c>
      <c r="BC5" s="4">
        <f t="shared" si="25"/>
        <v>0.56159141429977699</v>
      </c>
      <c r="BD5">
        <v>0.52854625944</v>
      </c>
      <c r="BE5" s="4">
        <f t="shared" si="26"/>
        <v>0.52809928160261121</v>
      </c>
      <c r="BF5">
        <v>0.57214584593999995</v>
      </c>
      <c r="BG5" s="4">
        <f t="shared" si="27"/>
        <v>0.57162208454955776</v>
      </c>
      <c r="BH5">
        <v>0.46815407037000001</v>
      </c>
      <c r="BI5" s="4">
        <f t="shared" si="28"/>
        <v>0.46780340119623359</v>
      </c>
      <c r="BJ5">
        <v>0.57936532256999995</v>
      </c>
      <c r="BK5" s="4">
        <f t="shared" si="29"/>
        <v>0.57882825988680531</v>
      </c>
      <c r="BL5">
        <v>0.53368783946999998</v>
      </c>
      <c r="BM5" s="4">
        <f t="shared" si="30"/>
        <v>0.53323212313400292</v>
      </c>
      <c r="BN5">
        <v>0.58974521399999991</v>
      </c>
      <c r="BO5" s="4">
        <f t="shared" si="31"/>
        <v>0.58918873493210244</v>
      </c>
      <c r="BP5">
        <v>0.60777678249</v>
      </c>
      <c r="BQ5" s="4">
        <f t="shared" si="32"/>
        <v>0.60718575430226573</v>
      </c>
      <c r="BR5">
        <v>0</v>
      </c>
      <c r="BS5" s="4">
        <f t="shared" si="33"/>
        <v>0</v>
      </c>
      <c r="BT5">
        <v>0.59773602969000006</v>
      </c>
      <c r="BU5" s="4">
        <f t="shared" si="34"/>
        <v>0.59716436831209674</v>
      </c>
      <c r="BV5">
        <v>0.66818053728000004</v>
      </c>
      <c r="BW5" s="4">
        <f t="shared" si="35"/>
        <v>0.66746619291136045</v>
      </c>
      <c r="BX5">
        <v>0.50501822237999994</v>
      </c>
      <c r="BY5" s="4">
        <f t="shared" si="36"/>
        <v>0.50461015293210265</v>
      </c>
      <c r="BZ5">
        <v>0.49600059273000002</v>
      </c>
      <c r="CA5" s="4">
        <f t="shared" si="37"/>
        <v>0.49560696618921846</v>
      </c>
      <c r="CB5">
        <v>0.56490864516000006</v>
      </c>
      <c r="CC5" s="4">
        <f t="shared" si="38"/>
        <v>0.56439805031619772</v>
      </c>
      <c r="CD5">
        <v>0.71896033287000005</v>
      </c>
      <c r="CE5" s="4">
        <f t="shared" si="39"/>
        <v>0.71813328653361519</v>
      </c>
      <c r="CF5">
        <f t="shared" si="40"/>
        <v>0.83193601385840055</v>
      </c>
    </row>
    <row r="6" spans="1:84" x14ac:dyDescent="0.2">
      <c r="A6" s="2">
        <v>42008</v>
      </c>
      <c r="B6">
        <v>2015</v>
      </c>
      <c r="C6">
        <v>4</v>
      </c>
      <c r="D6">
        <v>12.507237781258</v>
      </c>
      <c r="E6" s="4">
        <f t="shared" si="0"/>
        <v>12.256948186190915</v>
      </c>
      <c r="F6">
        <v>15.683425209159999</v>
      </c>
      <c r="G6" s="4">
        <f t="shared" si="1"/>
        <v>15.289873487093896</v>
      </c>
      <c r="H6">
        <v>16.974465167080002</v>
      </c>
      <c r="I6" s="4">
        <f t="shared" si="2"/>
        <v>16.513453218746541</v>
      </c>
      <c r="J6">
        <v>10.898207908646</v>
      </c>
      <c r="K6" s="4">
        <f t="shared" si="3"/>
        <v>10.70817441165388</v>
      </c>
      <c r="L6">
        <v>14.629076535032</v>
      </c>
      <c r="M6" s="4">
        <f t="shared" si="4"/>
        <v>14.286660726603483</v>
      </c>
      <c r="N6">
        <v>11.075856706002</v>
      </c>
      <c r="O6" s="4">
        <f t="shared" si="5"/>
        <v>10.879577343166977</v>
      </c>
      <c r="P6">
        <v>11.138033567423999</v>
      </c>
      <c r="Q6" s="4">
        <f t="shared" si="6"/>
        <v>10.939544300625498</v>
      </c>
      <c r="R6">
        <v>9.0651709928119999</v>
      </c>
      <c r="S6" s="4">
        <f t="shared" si="7"/>
        <v>8.9336872726057273</v>
      </c>
      <c r="T6">
        <v>9.7718814313059994</v>
      </c>
      <c r="U6" s="4">
        <f t="shared" si="8"/>
        <v>9.6190979645739958</v>
      </c>
      <c r="V6">
        <v>9.3950786070619987</v>
      </c>
      <c r="W6" s="4">
        <f t="shared" si="9"/>
        <v>9.2538506038094006</v>
      </c>
      <c r="X6">
        <v>8.5198135348879998</v>
      </c>
      <c r="Y6" s="4">
        <f t="shared" si="10"/>
        <v>8.4036739786171815</v>
      </c>
      <c r="Z6">
        <v>6.99323629544</v>
      </c>
      <c r="AA6" s="4">
        <f t="shared" si="11"/>
        <v>6.9149877292258255</v>
      </c>
      <c r="AB6">
        <v>4.7732571100580001</v>
      </c>
      <c r="AC6" s="4">
        <f t="shared" si="12"/>
        <v>4.736802736556049</v>
      </c>
      <c r="AD6">
        <v>9.6286623982119988</v>
      </c>
      <c r="AE6" s="4">
        <f t="shared" si="13"/>
        <v>9.4803245748860121</v>
      </c>
      <c r="AF6">
        <v>7.1838778191600001</v>
      </c>
      <c r="AG6" s="4">
        <f t="shared" si="14"/>
        <v>7.1013048583270093</v>
      </c>
      <c r="AH6">
        <v>5.4164365407399986</v>
      </c>
      <c r="AI6" s="4">
        <f t="shared" si="15"/>
        <v>5.3694960850602165</v>
      </c>
      <c r="AJ6">
        <v>12.483920407522</v>
      </c>
      <c r="AK6" s="4">
        <f t="shared" si="16"/>
        <v>12.234563177535849</v>
      </c>
      <c r="AL6">
        <v>11.545246963307999</v>
      </c>
      <c r="AM6" s="4">
        <f t="shared" si="17"/>
        <v>11.331978599397962</v>
      </c>
      <c r="AN6">
        <v>9.7449970474320011</v>
      </c>
      <c r="AO6" s="4">
        <f t="shared" si="18"/>
        <v>9.593053099504866</v>
      </c>
      <c r="AP6">
        <v>14.132844711140001</v>
      </c>
      <c r="AQ6" s="4">
        <f t="shared" si="19"/>
        <v>13.813265031733284</v>
      </c>
      <c r="AR6">
        <v>14.141230826956001</v>
      </c>
      <c r="AS6" s="4">
        <f t="shared" si="20"/>
        <v>13.821271772073999</v>
      </c>
      <c r="AT6">
        <v>11.798942353554001</v>
      </c>
      <c r="AU6" s="4">
        <f t="shared" si="21"/>
        <v>11.576198288494018</v>
      </c>
      <c r="AV6">
        <v>8.7970095514879993</v>
      </c>
      <c r="AW6" s="4">
        <f t="shared" si="22"/>
        <v>8.6731897482096461</v>
      </c>
      <c r="AX6">
        <v>10.67358638456</v>
      </c>
      <c r="AY6" s="4">
        <f t="shared" si="23"/>
        <v>10.491305670466138</v>
      </c>
      <c r="AZ6">
        <v>11.195336998664001</v>
      </c>
      <c r="BA6" s="4">
        <f t="shared" si="24"/>
        <v>10.994800085842153</v>
      </c>
      <c r="BB6">
        <v>10.248932374585999</v>
      </c>
      <c r="BC6" s="4">
        <f t="shared" si="25"/>
        <v>10.080867390875861</v>
      </c>
      <c r="BD6">
        <v>10.270502822428</v>
      </c>
      <c r="BE6" s="4">
        <f t="shared" si="26"/>
        <v>10.101729657267198</v>
      </c>
      <c r="BF6">
        <v>10.098470931034001</v>
      </c>
      <c r="BG6" s="4">
        <f t="shared" si="27"/>
        <v>9.9353043468020985</v>
      </c>
      <c r="BH6">
        <v>10.119144452044001</v>
      </c>
      <c r="BI6" s="4">
        <f t="shared" si="28"/>
        <v>9.9553091169378689</v>
      </c>
      <c r="BJ6">
        <v>9.6003578045799998</v>
      </c>
      <c r="BK6" s="4">
        <f t="shared" si="29"/>
        <v>9.4528908126184632</v>
      </c>
      <c r="BL6">
        <v>11.807203722858</v>
      </c>
      <c r="BM6" s="4">
        <f t="shared" si="30"/>
        <v>11.584147627253085</v>
      </c>
      <c r="BN6">
        <v>12.857830057212</v>
      </c>
      <c r="BO6" s="4">
        <f t="shared" si="31"/>
        <v>12.593311987163769</v>
      </c>
      <c r="BP6">
        <v>14.047368464262</v>
      </c>
      <c r="BQ6" s="4">
        <f t="shared" si="32"/>
        <v>13.731642767028811</v>
      </c>
      <c r="BR6">
        <v>11.032065470241999</v>
      </c>
      <c r="BS6" s="4">
        <f t="shared" si="33"/>
        <v>10.837335120578469</v>
      </c>
      <c r="BT6">
        <v>10.111485458218</v>
      </c>
      <c r="BU6" s="4">
        <f t="shared" si="34"/>
        <v>9.9478980371431955</v>
      </c>
      <c r="BV6">
        <v>10.349947587846</v>
      </c>
      <c r="BW6" s="4">
        <f t="shared" si="35"/>
        <v>10.178553323732146</v>
      </c>
      <c r="BX6">
        <v>7.7236331790680008</v>
      </c>
      <c r="BY6" s="4">
        <f t="shared" si="36"/>
        <v>7.6281859638923208</v>
      </c>
      <c r="BZ6">
        <v>9.1611044547419986</v>
      </c>
      <c r="CA6" s="4">
        <f t="shared" si="37"/>
        <v>9.0268231190128887</v>
      </c>
      <c r="CB6">
        <v>11.033205664304001</v>
      </c>
      <c r="CC6" s="4">
        <f t="shared" si="38"/>
        <v>10.838435060734673</v>
      </c>
      <c r="CD6">
        <v>13.324726401548</v>
      </c>
      <c r="CE6" s="4">
        <f t="shared" si="39"/>
        <v>13.040649067666223</v>
      </c>
      <c r="CF6">
        <f t="shared" si="40"/>
        <v>10.524366617212831</v>
      </c>
    </row>
    <row r="7" spans="1:84" x14ac:dyDescent="0.2">
      <c r="A7" s="2">
        <v>42009</v>
      </c>
      <c r="B7">
        <v>2015</v>
      </c>
      <c r="C7">
        <v>5</v>
      </c>
      <c r="D7">
        <v>45.840858876544999</v>
      </c>
      <c r="E7" s="4">
        <f t="shared" si="0"/>
        <v>42.478643928482093</v>
      </c>
      <c r="F7">
        <v>45.344700291909987</v>
      </c>
      <c r="G7" s="4">
        <f t="shared" si="1"/>
        <v>42.054873340608957</v>
      </c>
      <c r="H7">
        <v>47.727644568389998</v>
      </c>
      <c r="I7" s="4">
        <f t="shared" si="2"/>
        <v>44.08295967871549</v>
      </c>
      <c r="J7">
        <v>44.667580213020003</v>
      </c>
      <c r="K7" s="4">
        <f t="shared" si="3"/>
        <v>41.475271857681477</v>
      </c>
      <c r="L7">
        <v>46.353185041910002</v>
      </c>
      <c r="M7" s="4">
        <f t="shared" si="4"/>
        <v>42.915396620262726</v>
      </c>
      <c r="N7">
        <v>44.686050968540002</v>
      </c>
      <c r="O7" s="4">
        <f t="shared" si="5"/>
        <v>41.491101926679271</v>
      </c>
      <c r="P7">
        <v>49.738387458455001</v>
      </c>
      <c r="Q7" s="4">
        <f t="shared" si="6"/>
        <v>45.780135959307174</v>
      </c>
      <c r="R7">
        <v>45.218399443225003</v>
      </c>
      <c r="S7" s="4">
        <f t="shared" si="7"/>
        <v>41.946873606093725</v>
      </c>
      <c r="T7">
        <v>45.077358623919999</v>
      </c>
      <c r="U7" s="4">
        <f t="shared" si="8"/>
        <v>41.826209407104812</v>
      </c>
      <c r="V7">
        <v>44.623195170785003</v>
      </c>
      <c r="W7" s="4">
        <f t="shared" si="9"/>
        <v>41.437227895185053</v>
      </c>
      <c r="X7">
        <v>41.97484770002</v>
      </c>
      <c r="Y7" s="4">
        <f t="shared" si="10"/>
        <v>39.155827156916203</v>
      </c>
      <c r="Z7">
        <v>41.892477445659999</v>
      </c>
      <c r="AA7" s="4">
        <f t="shared" si="11"/>
        <v>39.084509979203787</v>
      </c>
      <c r="AB7">
        <v>43.084196345594997</v>
      </c>
      <c r="AC7" s="4">
        <f t="shared" si="12"/>
        <v>40.114199586001746</v>
      </c>
      <c r="AD7">
        <v>42.966174122929999</v>
      </c>
      <c r="AE7" s="4">
        <f t="shared" si="13"/>
        <v>40.012426732910889</v>
      </c>
      <c r="AF7">
        <v>44.01344866174</v>
      </c>
      <c r="AG7" s="4">
        <f t="shared" si="14"/>
        <v>40.913954800780601</v>
      </c>
      <c r="AH7">
        <v>45.623008135820001</v>
      </c>
      <c r="AI7" s="4">
        <f t="shared" si="15"/>
        <v>42.292673941642242</v>
      </c>
      <c r="AJ7">
        <v>45.124513768874998</v>
      </c>
      <c r="AK7" s="4">
        <f t="shared" si="16"/>
        <v>41.866558980271179</v>
      </c>
      <c r="AL7">
        <v>49.330522537939999</v>
      </c>
      <c r="AM7" s="4">
        <f t="shared" si="17"/>
        <v>45.436921811754068</v>
      </c>
      <c r="AN7">
        <v>52.122390698484999</v>
      </c>
      <c r="AO7" s="4">
        <f t="shared" si="18"/>
        <v>47.77560091908417</v>
      </c>
      <c r="AP7">
        <v>47.843300244710001</v>
      </c>
      <c r="AQ7" s="4">
        <f t="shared" si="19"/>
        <v>44.180930039421249</v>
      </c>
      <c r="AR7">
        <v>54.324547962369998</v>
      </c>
      <c r="AS7" s="4">
        <f t="shared" si="20"/>
        <v>49.602697544264657</v>
      </c>
      <c r="AT7">
        <v>57.709048371969999</v>
      </c>
      <c r="AU7" s="4">
        <f t="shared" si="21"/>
        <v>52.380513549572598</v>
      </c>
      <c r="AV7">
        <v>52.655481309499997</v>
      </c>
      <c r="AW7" s="4">
        <f t="shared" si="22"/>
        <v>48.21932177040383</v>
      </c>
      <c r="AX7">
        <v>55.453153788054998</v>
      </c>
      <c r="AY7" s="4">
        <f t="shared" si="23"/>
        <v>50.533070163988313</v>
      </c>
      <c r="AZ7">
        <v>59.032165678654998</v>
      </c>
      <c r="BA7" s="4">
        <f t="shared" si="24"/>
        <v>53.456491143115521</v>
      </c>
      <c r="BB7">
        <v>52.973522740095</v>
      </c>
      <c r="BC7" s="4">
        <f t="shared" si="25"/>
        <v>48.483612161702425</v>
      </c>
      <c r="BD7">
        <v>56.1125540345</v>
      </c>
      <c r="BE7" s="4">
        <f t="shared" si="26"/>
        <v>51.074764082060511</v>
      </c>
      <c r="BF7">
        <v>56.552206466115003</v>
      </c>
      <c r="BG7" s="4">
        <f t="shared" si="27"/>
        <v>51.435163176217245</v>
      </c>
      <c r="BH7">
        <v>58.738860009509999</v>
      </c>
      <c r="BI7" s="4">
        <f t="shared" si="28"/>
        <v>53.218454129163099</v>
      </c>
      <c r="BJ7">
        <v>56.968938354994997</v>
      </c>
      <c r="BK7" s="4">
        <f t="shared" si="29"/>
        <v>51.776202455322647</v>
      </c>
      <c r="BL7">
        <v>59.730776622129987</v>
      </c>
      <c r="BM7" s="4">
        <f t="shared" si="30"/>
        <v>54.022351540717523</v>
      </c>
      <c r="BN7">
        <v>58.848678295669998</v>
      </c>
      <c r="BO7" s="4">
        <f t="shared" si="31"/>
        <v>53.307611196234376</v>
      </c>
      <c r="BP7">
        <v>62.216739041479997</v>
      </c>
      <c r="BQ7" s="4">
        <f t="shared" si="32"/>
        <v>56.02326285435101</v>
      </c>
      <c r="BR7">
        <v>61.490349582355002</v>
      </c>
      <c r="BS7" s="4">
        <f t="shared" si="33"/>
        <v>55.440648635538636</v>
      </c>
      <c r="BT7">
        <v>53.175817371599997</v>
      </c>
      <c r="BU7" s="4">
        <f t="shared" si="34"/>
        <v>48.651549286579588</v>
      </c>
      <c r="BV7">
        <v>50.195021982710003</v>
      </c>
      <c r="BW7" s="4">
        <f t="shared" si="35"/>
        <v>46.16375761175842</v>
      </c>
      <c r="BX7">
        <v>48.402859018260003</v>
      </c>
      <c r="BY7" s="4">
        <f t="shared" si="36"/>
        <v>44.654320200433517</v>
      </c>
      <c r="BZ7">
        <v>55.811450069270002</v>
      </c>
      <c r="CA7" s="4">
        <f t="shared" si="37"/>
        <v>50.82758133513461</v>
      </c>
      <c r="CB7">
        <v>62.293906728000003</v>
      </c>
      <c r="CC7" s="4">
        <f t="shared" si="38"/>
        <v>56.08505742330118</v>
      </c>
      <c r="CD7">
        <v>64.59916574196501</v>
      </c>
      <c r="CE7" s="4">
        <f t="shared" si="39"/>
        <v>57.922282198672427</v>
      </c>
      <c r="CF7">
        <f t="shared" si="40"/>
        <v>46.841143337905706</v>
      </c>
    </row>
    <row r="8" spans="1:84" x14ac:dyDescent="0.2">
      <c r="A8" s="2">
        <v>42010</v>
      </c>
      <c r="B8">
        <v>2015</v>
      </c>
      <c r="C8">
        <v>6</v>
      </c>
      <c r="D8">
        <v>149.64248849444701</v>
      </c>
      <c r="E8" s="4">
        <f t="shared" si="0"/>
        <v>113.81388951394987</v>
      </c>
      <c r="F8">
        <v>131.18533164281999</v>
      </c>
      <c r="G8" s="4">
        <f t="shared" si="1"/>
        <v>103.64998566164131</v>
      </c>
      <c r="H8">
        <v>134.34271843925401</v>
      </c>
      <c r="I8" s="4">
        <f t="shared" si="2"/>
        <v>105.46597284301612</v>
      </c>
      <c r="J8">
        <v>191.18879995098001</v>
      </c>
      <c r="K8" s="4">
        <f t="shared" si="3"/>
        <v>132.70374838826666</v>
      </c>
      <c r="L8">
        <v>190.64697039180001</v>
      </c>
      <c r="M8" s="4">
        <f t="shared" si="4"/>
        <v>132.49294268048502</v>
      </c>
      <c r="N8">
        <v>181.59587531592001</v>
      </c>
      <c r="O8" s="4">
        <f t="shared" si="5"/>
        <v>128.83257622511175</v>
      </c>
      <c r="P8">
        <v>148.06666021890601</v>
      </c>
      <c r="Q8" s="4">
        <f t="shared" si="6"/>
        <v>112.98868282949647</v>
      </c>
      <c r="R8">
        <v>180.36388068932999</v>
      </c>
      <c r="S8" s="4">
        <f t="shared" si="7"/>
        <v>128.31407355762622</v>
      </c>
      <c r="T8">
        <v>167.19969012481801</v>
      </c>
      <c r="U8" s="4">
        <f t="shared" si="8"/>
        <v>122.47051192028174</v>
      </c>
      <c r="V8">
        <v>160.331111612451</v>
      </c>
      <c r="W8" s="4">
        <f t="shared" si="9"/>
        <v>119.20140705103624</v>
      </c>
      <c r="X8">
        <v>177.901262108661</v>
      </c>
      <c r="Y8" s="4">
        <f t="shared" si="10"/>
        <v>127.26308761289378</v>
      </c>
      <c r="Z8">
        <v>171.51429556778399</v>
      </c>
      <c r="AA8" s="4">
        <f t="shared" si="11"/>
        <v>124.44684983320293</v>
      </c>
      <c r="AB8">
        <v>157.71275046458101</v>
      </c>
      <c r="AC8" s="4">
        <f t="shared" si="12"/>
        <v>117.9154518100159</v>
      </c>
      <c r="AD8">
        <v>147.38507348346599</v>
      </c>
      <c r="AE8" s="4">
        <f t="shared" si="13"/>
        <v>112.6292976663033</v>
      </c>
      <c r="AF8">
        <v>146.27387677070999</v>
      </c>
      <c r="AG8" s="4">
        <f t="shared" si="14"/>
        <v>112.04020152985743</v>
      </c>
      <c r="AH8">
        <v>172.20108626338799</v>
      </c>
      <c r="AI8" s="4">
        <f t="shared" si="15"/>
        <v>124.75594368692272</v>
      </c>
      <c r="AJ8">
        <v>127.95910831782</v>
      </c>
      <c r="AK8" s="4">
        <f t="shared" si="16"/>
        <v>101.76145487543344</v>
      </c>
      <c r="AL8">
        <v>130.30400670885001</v>
      </c>
      <c r="AM8" s="4">
        <f t="shared" si="17"/>
        <v>103.13739204584196</v>
      </c>
      <c r="AN8">
        <v>162.26795752408799</v>
      </c>
      <c r="AO8" s="4">
        <f t="shared" si="18"/>
        <v>120.13853346162522</v>
      </c>
      <c r="AP8">
        <v>130.80911643461999</v>
      </c>
      <c r="AQ8" s="4">
        <f t="shared" si="19"/>
        <v>103.43147652677044</v>
      </c>
      <c r="AR8">
        <v>138.25045489515</v>
      </c>
      <c r="AS8" s="4">
        <f t="shared" si="20"/>
        <v>107.66935364920455</v>
      </c>
      <c r="AT8">
        <v>182.40128754658201</v>
      </c>
      <c r="AU8" s="4">
        <f t="shared" si="21"/>
        <v>129.16892002874059</v>
      </c>
      <c r="AV8">
        <v>178.915585260282</v>
      </c>
      <c r="AW8" s="4">
        <f t="shared" si="22"/>
        <v>127.69832662183521</v>
      </c>
      <c r="AX8">
        <v>165.849115235856</v>
      </c>
      <c r="AY8" s="4">
        <f t="shared" si="23"/>
        <v>121.83962879663</v>
      </c>
      <c r="AZ8">
        <v>174.79865853449999</v>
      </c>
      <c r="BA8" s="4">
        <f t="shared" si="24"/>
        <v>125.91134489376283</v>
      </c>
      <c r="BB8">
        <v>167.58922438607701</v>
      </c>
      <c r="BC8" s="4">
        <f t="shared" si="25"/>
        <v>122.65138737755403</v>
      </c>
      <c r="BD8">
        <v>151.625085985152</v>
      </c>
      <c r="BE8" s="4">
        <f t="shared" si="26"/>
        <v>114.84081926514442</v>
      </c>
      <c r="BF8">
        <v>183.22998429364199</v>
      </c>
      <c r="BG8" s="4">
        <f t="shared" si="27"/>
        <v>129.51282086284471</v>
      </c>
      <c r="BH8">
        <v>171.354582092577</v>
      </c>
      <c r="BI8" s="4">
        <f t="shared" si="28"/>
        <v>124.37475360598225</v>
      </c>
      <c r="BJ8">
        <v>159.974813468028</v>
      </c>
      <c r="BK8" s="4">
        <f t="shared" si="29"/>
        <v>119.02770795741944</v>
      </c>
      <c r="BL8">
        <v>168.20163060916801</v>
      </c>
      <c r="BM8" s="4">
        <f t="shared" si="30"/>
        <v>122.93476894583522</v>
      </c>
      <c r="BN8">
        <v>164.00227792540801</v>
      </c>
      <c r="BO8" s="4">
        <f t="shared" si="31"/>
        <v>120.96748246185157</v>
      </c>
      <c r="BP8">
        <v>173.22173077232401</v>
      </c>
      <c r="BQ8" s="4">
        <f t="shared" si="32"/>
        <v>125.21250195350879</v>
      </c>
      <c r="BR8">
        <v>194.00827814159999</v>
      </c>
      <c r="BS8" s="4">
        <f t="shared" si="33"/>
        <v>133.7855389616505</v>
      </c>
      <c r="BT8">
        <v>147.896898810024</v>
      </c>
      <c r="BU8" s="4">
        <f t="shared" si="34"/>
        <v>112.89931052582803</v>
      </c>
      <c r="BV8">
        <v>163.237173162375</v>
      </c>
      <c r="BW8" s="4">
        <f t="shared" si="35"/>
        <v>120.60297363910587</v>
      </c>
      <c r="BX8">
        <v>172.03242506119801</v>
      </c>
      <c r="BY8" s="4">
        <f t="shared" si="36"/>
        <v>124.68017662529927</v>
      </c>
      <c r="BZ8">
        <v>172.54418572404001</v>
      </c>
      <c r="CA8" s="4">
        <f t="shared" si="37"/>
        <v>124.90979208056477</v>
      </c>
      <c r="CB8">
        <v>207.95221024671599</v>
      </c>
      <c r="CC8" s="4">
        <f t="shared" si="38"/>
        <v>138.76161545232497</v>
      </c>
      <c r="CD8">
        <v>197.031636018672</v>
      </c>
      <c r="CE8" s="4">
        <f t="shared" si="39"/>
        <v>134.91729107116086</v>
      </c>
      <c r="CF8">
        <f t="shared" si="40"/>
        <v>120.7410178781702</v>
      </c>
    </row>
    <row r="9" spans="1:84" x14ac:dyDescent="0.2">
      <c r="A9" s="2">
        <v>42011</v>
      </c>
      <c r="B9">
        <v>2015</v>
      </c>
      <c r="C9">
        <v>7</v>
      </c>
      <c r="D9">
        <v>295.63171788795501</v>
      </c>
      <c r="E9" s="4">
        <f t="shared" si="0"/>
        <v>154.5631717887955</v>
      </c>
      <c r="F9">
        <v>295.81511029065001</v>
      </c>
      <c r="G9" s="4">
        <f t="shared" si="1"/>
        <v>154.58151102906501</v>
      </c>
      <c r="H9">
        <v>267.35903360266502</v>
      </c>
      <c r="I9" s="4">
        <f t="shared" si="2"/>
        <v>151.73590336026649</v>
      </c>
      <c r="J9">
        <v>276.42213684460501</v>
      </c>
      <c r="K9" s="4">
        <f t="shared" si="3"/>
        <v>152.6422136844605</v>
      </c>
      <c r="L9">
        <v>248.96408356480501</v>
      </c>
      <c r="M9" s="4">
        <f t="shared" si="4"/>
        <v>149.79109971638385</v>
      </c>
      <c r="N9">
        <v>269.76466110017998</v>
      </c>
      <c r="O9" s="4">
        <f t="shared" si="5"/>
        <v>151.97646611001801</v>
      </c>
      <c r="P9">
        <v>297.58611604865001</v>
      </c>
      <c r="Q9" s="4">
        <f t="shared" si="6"/>
        <v>154.758611604865</v>
      </c>
      <c r="R9">
        <v>287.01818320925003</v>
      </c>
      <c r="S9" s="4">
        <f t="shared" si="7"/>
        <v>153.70181832092501</v>
      </c>
      <c r="T9">
        <v>262.50870884505002</v>
      </c>
      <c r="U9" s="4">
        <f t="shared" si="8"/>
        <v>151.25087088450499</v>
      </c>
      <c r="V9">
        <v>286.381596195035</v>
      </c>
      <c r="W9" s="4">
        <f t="shared" si="9"/>
        <v>153.63815961950351</v>
      </c>
      <c r="X9">
        <v>272.637059355335</v>
      </c>
      <c r="Y9" s="4">
        <f t="shared" si="10"/>
        <v>152.26370593553349</v>
      </c>
      <c r="Z9">
        <v>241.20462567235501</v>
      </c>
      <c r="AA9" s="4">
        <f t="shared" si="11"/>
        <v>148.11715135916955</v>
      </c>
      <c r="AB9">
        <v>247.22616977910999</v>
      </c>
      <c r="AC9" s="4">
        <f t="shared" si="12"/>
        <v>149.43292334127105</v>
      </c>
      <c r="AD9">
        <v>293.30058147683002</v>
      </c>
      <c r="AE9" s="4">
        <f t="shared" si="13"/>
        <v>154.33005814768302</v>
      </c>
      <c r="AF9">
        <v>260.13919017355499</v>
      </c>
      <c r="AG9" s="4">
        <f t="shared" si="14"/>
        <v>151.01391901735551</v>
      </c>
      <c r="AH9">
        <v>273.88135640237999</v>
      </c>
      <c r="AI9" s="4">
        <f t="shared" si="15"/>
        <v>152.388135640238</v>
      </c>
      <c r="AJ9">
        <v>304.35428402868502</v>
      </c>
      <c r="AK9" s="4">
        <f t="shared" si="16"/>
        <v>155.4354284028685</v>
      </c>
      <c r="AL9">
        <v>291.08741683078489</v>
      </c>
      <c r="AM9" s="4">
        <f t="shared" si="17"/>
        <v>154.10874168307851</v>
      </c>
      <c r="AN9">
        <v>318.96279891685998</v>
      </c>
      <c r="AO9" s="4">
        <f t="shared" si="18"/>
        <v>156.89627989168599</v>
      </c>
      <c r="AP9">
        <v>322.05060505507998</v>
      </c>
      <c r="AQ9" s="4">
        <f t="shared" si="19"/>
        <v>157.20506050550802</v>
      </c>
      <c r="AR9">
        <v>327.07678840836502</v>
      </c>
      <c r="AS9" s="4">
        <f t="shared" si="20"/>
        <v>157.70767884083651</v>
      </c>
      <c r="AT9">
        <v>413.55966213353003</v>
      </c>
      <c r="AU9" s="4">
        <f t="shared" si="21"/>
        <v>166.35596621335301</v>
      </c>
      <c r="AV9">
        <v>328.90999121981002</v>
      </c>
      <c r="AW9" s="4">
        <f t="shared" si="22"/>
        <v>157.890999121981</v>
      </c>
      <c r="AX9">
        <v>359.94502326624001</v>
      </c>
      <c r="AY9" s="4">
        <f t="shared" si="23"/>
        <v>160.994502326624</v>
      </c>
      <c r="AZ9">
        <v>422.31378714762002</v>
      </c>
      <c r="BA9" s="4">
        <f t="shared" si="24"/>
        <v>167.231378714762</v>
      </c>
      <c r="BB9">
        <v>364.61492316493002</v>
      </c>
      <c r="BC9" s="4">
        <f t="shared" si="25"/>
        <v>161.46149231649301</v>
      </c>
      <c r="BD9">
        <v>349.55733848944499</v>
      </c>
      <c r="BE9" s="4">
        <f t="shared" si="26"/>
        <v>159.9557338489445</v>
      </c>
      <c r="BF9">
        <v>402.44852201575998</v>
      </c>
      <c r="BG9" s="4">
        <f t="shared" si="27"/>
        <v>165.24485220157601</v>
      </c>
      <c r="BH9">
        <v>409.46320476136998</v>
      </c>
      <c r="BI9" s="4">
        <f t="shared" si="28"/>
        <v>165.946320476137</v>
      </c>
      <c r="BJ9">
        <v>367.51757099838989</v>
      </c>
      <c r="BK9" s="4">
        <f t="shared" si="29"/>
        <v>161.75175709983898</v>
      </c>
      <c r="BL9">
        <v>432.06958646916001</v>
      </c>
      <c r="BM9" s="4">
        <f t="shared" si="30"/>
        <v>168.20695864691601</v>
      </c>
      <c r="BN9">
        <v>432.79345375840501</v>
      </c>
      <c r="BO9" s="4">
        <f t="shared" si="31"/>
        <v>168.27934537584051</v>
      </c>
      <c r="BP9">
        <v>448.21972943544489</v>
      </c>
      <c r="BQ9" s="4">
        <f t="shared" si="32"/>
        <v>169.82197294354449</v>
      </c>
      <c r="BR9">
        <v>445.23701455209999</v>
      </c>
      <c r="BS9" s="4">
        <f t="shared" si="33"/>
        <v>169.52370145521002</v>
      </c>
      <c r="BT9">
        <v>313.51404557869</v>
      </c>
      <c r="BU9" s="4">
        <f t="shared" si="34"/>
        <v>156.35140455786899</v>
      </c>
      <c r="BV9">
        <v>320.36862644637</v>
      </c>
      <c r="BW9" s="4">
        <f t="shared" si="35"/>
        <v>157.03686264463701</v>
      </c>
      <c r="BX9">
        <v>306.83552656523489</v>
      </c>
      <c r="BY9" s="4">
        <f t="shared" si="36"/>
        <v>155.68355265652349</v>
      </c>
      <c r="BZ9">
        <v>379.36512352843999</v>
      </c>
      <c r="CA9" s="4">
        <f t="shared" si="37"/>
        <v>162.93651235284401</v>
      </c>
      <c r="CB9">
        <v>467.73263230265002</v>
      </c>
      <c r="CC9" s="4">
        <f t="shared" si="38"/>
        <v>171.773263230265</v>
      </c>
      <c r="CD9">
        <v>486.51178754107002</v>
      </c>
      <c r="CE9" s="4">
        <f t="shared" si="39"/>
        <v>173.65117875410701</v>
      </c>
      <c r="CF9">
        <f t="shared" si="40"/>
        <v>158.24040699398265</v>
      </c>
    </row>
    <row r="10" spans="1:84" x14ac:dyDescent="0.2">
      <c r="A10" s="2">
        <v>42012</v>
      </c>
      <c r="B10">
        <v>2015</v>
      </c>
      <c r="C10">
        <v>8</v>
      </c>
      <c r="D10">
        <v>252.05893534953401</v>
      </c>
      <c r="E10" s="4">
        <f t="shared" si="0"/>
        <v>150.20589353495342</v>
      </c>
      <c r="F10">
        <v>248.88257687298201</v>
      </c>
      <c r="G10" s="4">
        <f t="shared" si="1"/>
        <v>149.77451755948471</v>
      </c>
      <c r="H10">
        <v>230.80164942624401</v>
      </c>
      <c r="I10" s="4">
        <f t="shared" si="2"/>
        <v>145.57060722164425</v>
      </c>
      <c r="J10">
        <v>263.61283390295199</v>
      </c>
      <c r="K10" s="4">
        <f t="shared" si="3"/>
        <v>151.3612833902952</v>
      </c>
      <c r="L10">
        <v>249.688142673496</v>
      </c>
      <c r="M10" s="4">
        <f t="shared" si="4"/>
        <v>149.93747292671185</v>
      </c>
      <c r="N10">
        <v>250.191540327392</v>
      </c>
      <c r="O10" s="4">
        <f t="shared" si="5"/>
        <v>150.01915403273921</v>
      </c>
      <c r="P10">
        <v>256.318238466156</v>
      </c>
      <c r="Q10" s="4">
        <f t="shared" si="6"/>
        <v>150.63182384661559</v>
      </c>
      <c r="R10">
        <v>261.27372714164801</v>
      </c>
      <c r="S10" s="4">
        <f t="shared" si="7"/>
        <v>151.12737271416481</v>
      </c>
      <c r="T10">
        <v>245.97399056668601</v>
      </c>
      <c r="U10" s="4">
        <f t="shared" si="8"/>
        <v>149.16886411020576</v>
      </c>
      <c r="V10">
        <v>258.93799290555199</v>
      </c>
      <c r="W10" s="4">
        <f t="shared" si="9"/>
        <v>150.89379929055519</v>
      </c>
      <c r="X10">
        <v>253.30536665027401</v>
      </c>
      <c r="Y10" s="4">
        <f t="shared" si="10"/>
        <v>150.33053666502741</v>
      </c>
      <c r="Z10">
        <v>229.222056872948</v>
      </c>
      <c r="AA10" s="4">
        <f t="shared" si="11"/>
        <v>145.15365470164397</v>
      </c>
      <c r="AB10">
        <v>243.68110713320399</v>
      </c>
      <c r="AC10" s="4">
        <f t="shared" si="12"/>
        <v>148.6723359753415</v>
      </c>
      <c r="AD10">
        <v>256.42655328288402</v>
      </c>
      <c r="AE10" s="4">
        <f t="shared" si="13"/>
        <v>150.64265532828841</v>
      </c>
      <c r="AF10">
        <v>230.58866970031801</v>
      </c>
      <c r="AG10" s="4">
        <f t="shared" si="14"/>
        <v>145.51485434965824</v>
      </c>
      <c r="AH10">
        <v>247.78587550420599</v>
      </c>
      <c r="AI10" s="4">
        <f t="shared" si="15"/>
        <v>149.54933134518862</v>
      </c>
      <c r="AJ10">
        <v>256.83712106681998</v>
      </c>
      <c r="AK10" s="4">
        <f t="shared" si="16"/>
        <v>150.68371210668201</v>
      </c>
      <c r="AL10">
        <v>245.11976114669801</v>
      </c>
      <c r="AM10" s="4">
        <f t="shared" si="17"/>
        <v>148.98584545931513</v>
      </c>
      <c r="AN10">
        <v>263.391119745004</v>
      </c>
      <c r="AO10" s="4">
        <f t="shared" si="18"/>
        <v>151.33911197450041</v>
      </c>
      <c r="AP10">
        <v>262.666097035414</v>
      </c>
      <c r="AQ10" s="4">
        <f t="shared" si="19"/>
        <v>151.26660970354141</v>
      </c>
      <c r="AR10">
        <v>257.41461312277602</v>
      </c>
      <c r="AS10" s="4">
        <f t="shared" si="20"/>
        <v>150.74146131227761</v>
      </c>
      <c r="AT10">
        <v>315.75930222768</v>
      </c>
      <c r="AU10" s="4">
        <f t="shared" si="21"/>
        <v>156.57593022276799</v>
      </c>
      <c r="AV10">
        <v>282.14569881904202</v>
      </c>
      <c r="AW10" s="4">
        <f t="shared" si="22"/>
        <v>153.2145698819042</v>
      </c>
      <c r="AX10">
        <v>282.34691588273398</v>
      </c>
      <c r="AY10" s="4">
        <f t="shared" si="23"/>
        <v>153.23469158827339</v>
      </c>
      <c r="AZ10">
        <v>319.98489273516401</v>
      </c>
      <c r="BA10" s="4">
        <f t="shared" si="24"/>
        <v>156.99848927351641</v>
      </c>
      <c r="BB10">
        <v>316.82112034284398</v>
      </c>
      <c r="BC10" s="4">
        <f t="shared" si="25"/>
        <v>156.68211203428439</v>
      </c>
      <c r="BD10">
        <v>316.351294821252</v>
      </c>
      <c r="BE10" s="4">
        <f t="shared" si="26"/>
        <v>156.63512948212519</v>
      </c>
      <c r="BF10">
        <v>355.11361896025801</v>
      </c>
      <c r="BG10" s="4">
        <f t="shared" si="27"/>
        <v>160.51136189602579</v>
      </c>
      <c r="BH10">
        <v>348.99660801714799</v>
      </c>
      <c r="BI10" s="4">
        <f t="shared" si="28"/>
        <v>159.89966080171479</v>
      </c>
      <c r="BJ10">
        <v>329.79741628375001</v>
      </c>
      <c r="BK10" s="4">
        <f t="shared" si="29"/>
        <v>157.979741628375</v>
      </c>
      <c r="BL10">
        <v>351.28089062574202</v>
      </c>
      <c r="BM10" s="4">
        <f t="shared" si="30"/>
        <v>160.12808906257419</v>
      </c>
      <c r="BN10">
        <v>349.109406096182</v>
      </c>
      <c r="BO10" s="4">
        <f t="shared" si="31"/>
        <v>159.91094060961819</v>
      </c>
      <c r="BP10">
        <v>342.29033207823801</v>
      </c>
      <c r="BQ10" s="4">
        <f t="shared" si="32"/>
        <v>159.22903320782382</v>
      </c>
      <c r="BR10">
        <v>356.46960727843202</v>
      </c>
      <c r="BS10" s="4">
        <f t="shared" si="33"/>
        <v>160.64696072784321</v>
      </c>
      <c r="BT10">
        <v>273.76318007302598</v>
      </c>
      <c r="BU10" s="4">
        <f t="shared" si="34"/>
        <v>152.37631800730259</v>
      </c>
      <c r="BV10">
        <v>284.747506124084</v>
      </c>
      <c r="BW10" s="4">
        <f t="shared" si="35"/>
        <v>153.4747506124084</v>
      </c>
      <c r="BX10">
        <v>288.43630153510401</v>
      </c>
      <c r="BY10" s="4">
        <f t="shared" si="36"/>
        <v>153.84363015351039</v>
      </c>
      <c r="BZ10">
        <v>315.34940459689801</v>
      </c>
      <c r="CA10" s="4">
        <f t="shared" si="37"/>
        <v>156.53494045968981</v>
      </c>
      <c r="CB10">
        <v>341.326772964128</v>
      </c>
      <c r="CC10" s="4">
        <f t="shared" si="38"/>
        <v>159.13267729641279</v>
      </c>
      <c r="CD10">
        <v>335.79811792023202</v>
      </c>
      <c r="CE10" s="4">
        <f t="shared" si="39"/>
        <v>158.57981179202321</v>
      </c>
      <c r="CF10">
        <f t="shared" si="40"/>
        <v>153.06949840113833</v>
      </c>
    </row>
    <row r="11" spans="1:84" x14ac:dyDescent="0.2">
      <c r="A11" s="2">
        <v>42013</v>
      </c>
      <c r="B11">
        <v>2015</v>
      </c>
      <c r="C11">
        <v>9</v>
      </c>
      <c r="D11">
        <v>224.87447656827999</v>
      </c>
      <c r="E11" s="4">
        <f t="shared" si="0"/>
        <v>143.96482822930733</v>
      </c>
      <c r="F11">
        <v>220.77796214718001</v>
      </c>
      <c r="G11" s="4">
        <f t="shared" si="1"/>
        <v>142.78930843540135</v>
      </c>
      <c r="H11">
        <v>226.41656368004001</v>
      </c>
      <c r="I11" s="4">
        <f t="shared" si="2"/>
        <v>144.3934271861558</v>
      </c>
      <c r="J11">
        <v>213.35813547591999</v>
      </c>
      <c r="K11" s="4">
        <f t="shared" si="3"/>
        <v>140.52342511790238</v>
      </c>
      <c r="L11">
        <v>204.78986224331999</v>
      </c>
      <c r="M11" s="4">
        <f t="shared" si="4"/>
        <v>137.68764195909921</v>
      </c>
      <c r="N11">
        <v>225.62134097980001</v>
      </c>
      <c r="O11" s="4">
        <f t="shared" si="5"/>
        <v>144.17335777096289</v>
      </c>
      <c r="P11">
        <v>195.35725911224</v>
      </c>
      <c r="Q11" s="4">
        <f t="shared" si="6"/>
        <v>134.29412521168496</v>
      </c>
      <c r="R11">
        <v>231.39552936944</v>
      </c>
      <c r="S11" s="4">
        <f t="shared" si="7"/>
        <v>145.72530374997859</v>
      </c>
      <c r="T11">
        <v>211.66232358415999</v>
      </c>
      <c r="U11" s="4">
        <f t="shared" si="8"/>
        <v>139.98082082408695</v>
      </c>
      <c r="V11">
        <v>206.19528540211999</v>
      </c>
      <c r="W11" s="4">
        <f t="shared" si="9"/>
        <v>138.16889224682123</v>
      </c>
      <c r="X11">
        <v>218.72316980799999</v>
      </c>
      <c r="Y11" s="4">
        <f t="shared" si="10"/>
        <v>142.17944979062528</v>
      </c>
      <c r="Z11">
        <v>189.61772942875999</v>
      </c>
      <c r="AA11" s="4">
        <f t="shared" si="11"/>
        <v>132.08991612681052</v>
      </c>
      <c r="AB11">
        <v>177.83742885493999</v>
      </c>
      <c r="AC11" s="4">
        <f t="shared" si="12"/>
        <v>127.23558709216263</v>
      </c>
      <c r="AD11">
        <v>214.18790841008001</v>
      </c>
      <c r="AE11" s="4">
        <f t="shared" si="13"/>
        <v>140.78557223554427</v>
      </c>
      <c r="AF11">
        <v>199.50107359168001</v>
      </c>
      <c r="AG11" s="4">
        <f t="shared" si="14"/>
        <v>135.81998820890735</v>
      </c>
      <c r="AH11">
        <v>196.12908974327999</v>
      </c>
      <c r="AI11" s="4">
        <f t="shared" si="15"/>
        <v>134.58249799363585</v>
      </c>
      <c r="AJ11">
        <v>215.80749304258001</v>
      </c>
      <c r="AK11" s="4">
        <f t="shared" si="16"/>
        <v>141.29089455726282</v>
      </c>
      <c r="AL11">
        <v>207.55459272492001</v>
      </c>
      <c r="AM11" s="4">
        <f t="shared" si="17"/>
        <v>138.62833838698813</v>
      </c>
      <c r="AN11">
        <v>216.13603532555999</v>
      </c>
      <c r="AO11" s="4">
        <f t="shared" si="18"/>
        <v>141.39237809955725</v>
      </c>
      <c r="AP11">
        <v>217.60755000655999</v>
      </c>
      <c r="AQ11" s="4">
        <f t="shared" si="19"/>
        <v>141.84267669478794</v>
      </c>
      <c r="AR11">
        <v>214.12071383736</v>
      </c>
      <c r="AS11" s="4">
        <f t="shared" si="20"/>
        <v>140.76442568660698</v>
      </c>
      <c r="AT11">
        <v>235.44026778966</v>
      </c>
      <c r="AU11" s="4">
        <f t="shared" si="21"/>
        <v>146.74887627467308</v>
      </c>
      <c r="AV11">
        <v>217.48604911464</v>
      </c>
      <c r="AW11" s="4">
        <f t="shared" si="22"/>
        <v>141.80575861944703</v>
      </c>
      <c r="AX11">
        <v>228.71797678144</v>
      </c>
      <c r="AY11" s="4">
        <f t="shared" si="23"/>
        <v>145.01891613664745</v>
      </c>
      <c r="AZ11">
        <v>251.83738282566</v>
      </c>
      <c r="BA11" s="4">
        <f t="shared" si="24"/>
        <v>150.183738282566</v>
      </c>
      <c r="BB11">
        <v>208.60735005174001</v>
      </c>
      <c r="BC11" s="4">
        <f t="shared" si="25"/>
        <v>138.98010765876529</v>
      </c>
      <c r="BD11">
        <v>217.19346406416</v>
      </c>
      <c r="BE11" s="4">
        <f t="shared" si="26"/>
        <v>141.71666273265669</v>
      </c>
      <c r="BF11">
        <v>219.26899096188001</v>
      </c>
      <c r="BG11" s="4">
        <f t="shared" si="27"/>
        <v>142.34276632597437</v>
      </c>
      <c r="BH11">
        <v>228.71895482229999</v>
      </c>
      <c r="BI11" s="4">
        <f t="shared" si="28"/>
        <v>145.0191783502915</v>
      </c>
      <c r="BJ11">
        <v>222.98397284283999</v>
      </c>
      <c r="BK11" s="4">
        <f t="shared" si="29"/>
        <v>143.42900941119774</v>
      </c>
      <c r="BL11">
        <v>244.47982652396001</v>
      </c>
      <c r="BM11" s="4">
        <f t="shared" si="30"/>
        <v>148.84720960046306</v>
      </c>
      <c r="BN11">
        <v>230.13633353841999</v>
      </c>
      <c r="BO11" s="4">
        <f t="shared" si="31"/>
        <v>145.39596231520898</v>
      </c>
      <c r="BP11">
        <v>249.4909031924</v>
      </c>
      <c r="BQ11" s="4">
        <f t="shared" si="32"/>
        <v>149.89776595118479</v>
      </c>
      <c r="BR11">
        <v>236.6721401312</v>
      </c>
      <c r="BS11" s="4">
        <f t="shared" si="33"/>
        <v>147.05021706834819</v>
      </c>
      <c r="BT11">
        <v>207.41354287766001</v>
      </c>
      <c r="BU11" s="4">
        <f t="shared" si="34"/>
        <v>138.58093844715935</v>
      </c>
      <c r="BV11">
        <v>204.47238893503999</v>
      </c>
      <c r="BW11" s="4">
        <f t="shared" si="35"/>
        <v>137.57805639615637</v>
      </c>
      <c r="BX11">
        <v>210.34398152527999</v>
      </c>
      <c r="BY11" s="4">
        <f t="shared" si="36"/>
        <v>139.55263662302826</v>
      </c>
      <c r="BZ11">
        <v>221.56109349394001</v>
      </c>
      <c r="CA11" s="4">
        <f t="shared" si="37"/>
        <v>143.01818445357134</v>
      </c>
      <c r="CB11">
        <v>257.0573888056</v>
      </c>
      <c r="CC11" s="4">
        <f t="shared" si="38"/>
        <v>150.70573888056001</v>
      </c>
      <c r="CD11">
        <v>260.48450994071999</v>
      </c>
      <c r="CE11" s="4">
        <f t="shared" si="39"/>
        <v>151.048450994072</v>
      </c>
      <c r="CF11">
        <f t="shared" si="40"/>
        <v>141.79172521637915</v>
      </c>
    </row>
    <row r="12" spans="1:84" x14ac:dyDescent="0.2">
      <c r="A12" s="2">
        <v>42014</v>
      </c>
      <c r="B12">
        <v>2015</v>
      </c>
      <c r="C12">
        <v>10</v>
      </c>
      <c r="D12">
        <v>170.17889876358001</v>
      </c>
      <c r="E12" s="4">
        <f t="shared" si="0"/>
        <v>123.84152662856431</v>
      </c>
      <c r="F12">
        <v>165.08099990171999</v>
      </c>
      <c r="G12" s="4">
        <f t="shared" si="1"/>
        <v>121.4782214560373</v>
      </c>
      <c r="H12">
        <v>171.73131507068399</v>
      </c>
      <c r="I12" s="4">
        <f t="shared" si="2"/>
        <v>124.54468374923351</v>
      </c>
      <c r="J12">
        <v>163.64505990492</v>
      </c>
      <c r="K12" s="4">
        <f t="shared" si="3"/>
        <v>120.79753089486422</v>
      </c>
      <c r="L12">
        <v>173.45834849057999</v>
      </c>
      <c r="M12" s="4">
        <f t="shared" si="4"/>
        <v>125.31787063285279</v>
      </c>
      <c r="N12">
        <v>161.2641934845</v>
      </c>
      <c r="O12" s="4">
        <f t="shared" si="5"/>
        <v>119.65436932416999</v>
      </c>
      <c r="P12">
        <v>143.270011421736</v>
      </c>
      <c r="Q12" s="4">
        <f t="shared" si="6"/>
        <v>110.42793754528103</v>
      </c>
      <c r="R12">
        <v>156.6816258591</v>
      </c>
      <c r="S12" s="4">
        <f t="shared" si="7"/>
        <v>117.40301484813841</v>
      </c>
      <c r="T12">
        <v>147.46233345312001</v>
      </c>
      <c r="U12" s="4">
        <f t="shared" si="8"/>
        <v>112.67010979321736</v>
      </c>
      <c r="V12">
        <v>140.58998342568</v>
      </c>
      <c r="W12" s="4">
        <f t="shared" si="9"/>
        <v>108.96511392226724</v>
      </c>
      <c r="X12">
        <v>149.39268101651999</v>
      </c>
      <c r="Y12" s="4">
        <f t="shared" si="10"/>
        <v>113.68360399043409</v>
      </c>
      <c r="Z12">
        <v>138.04077568692</v>
      </c>
      <c r="AA12" s="4">
        <f t="shared" si="11"/>
        <v>107.55236648332549</v>
      </c>
      <c r="AB12">
        <v>128.18389005372001</v>
      </c>
      <c r="AC12" s="4">
        <f t="shared" si="12"/>
        <v>101.89411458283332</v>
      </c>
      <c r="AD12">
        <v>161.03998022694</v>
      </c>
      <c r="AE12" s="4">
        <f t="shared" si="13"/>
        <v>119.54577985655084</v>
      </c>
      <c r="AF12">
        <v>136.28593108806001</v>
      </c>
      <c r="AG12" s="4">
        <f t="shared" si="14"/>
        <v>106.56776306799691</v>
      </c>
      <c r="AH12">
        <v>133.367154784338</v>
      </c>
      <c r="AI12" s="4">
        <f t="shared" si="15"/>
        <v>104.90827802390668</v>
      </c>
      <c r="AJ12">
        <v>156.94335045654</v>
      </c>
      <c r="AK12" s="4">
        <f t="shared" si="16"/>
        <v>117.53340605250108</v>
      </c>
      <c r="AL12">
        <v>152.903494633848</v>
      </c>
      <c r="AM12" s="4">
        <f t="shared" si="17"/>
        <v>115.49632875985891</v>
      </c>
      <c r="AN12">
        <v>150.47438798797799</v>
      </c>
      <c r="AO12" s="4">
        <f t="shared" si="18"/>
        <v>114.24632168340753</v>
      </c>
      <c r="AP12">
        <v>169.51037262029999</v>
      </c>
      <c r="AQ12" s="4">
        <f t="shared" si="19"/>
        <v>123.53634633890327</v>
      </c>
      <c r="AR12">
        <v>166.29154404624001</v>
      </c>
      <c r="AS12" s="4">
        <f t="shared" si="20"/>
        <v>122.04693985218788</v>
      </c>
      <c r="AT12">
        <v>149.841780624954</v>
      </c>
      <c r="AU12" s="4">
        <f t="shared" si="21"/>
        <v>113.91768587158305</v>
      </c>
      <c r="AV12">
        <v>144.450302865222</v>
      </c>
      <c r="AW12" s="4">
        <f t="shared" si="22"/>
        <v>111.06487886865503</v>
      </c>
      <c r="AX12">
        <v>153.828084791892</v>
      </c>
      <c r="AY12" s="4">
        <f t="shared" si="23"/>
        <v>115.96715731870557</v>
      </c>
      <c r="AZ12">
        <v>154.86944268565799</v>
      </c>
      <c r="BA12" s="4">
        <f t="shared" si="24"/>
        <v>116.4941718412319</v>
      </c>
      <c r="BB12">
        <v>147.869339984802</v>
      </c>
      <c r="BC12" s="4">
        <f t="shared" si="25"/>
        <v>112.88479325273644</v>
      </c>
      <c r="BD12">
        <v>147.53011431318001</v>
      </c>
      <c r="BE12" s="4">
        <f t="shared" si="26"/>
        <v>112.70589890636407</v>
      </c>
      <c r="BF12">
        <v>150.57604956503999</v>
      </c>
      <c r="BG12" s="4">
        <f t="shared" si="27"/>
        <v>114.29901484085858</v>
      </c>
      <c r="BH12">
        <v>146.85596024783999</v>
      </c>
      <c r="BI12" s="4">
        <f t="shared" si="28"/>
        <v>112.34928335133573</v>
      </c>
      <c r="BJ12">
        <v>144.76649694599999</v>
      </c>
      <c r="BK12" s="4">
        <f t="shared" si="29"/>
        <v>111.23475512517403</v>
      </c>
      <c r="BL12">
        <v>149.27401148333999</v>
      </c>
      <c r="BM12" s="4">
        <f t="shared" si="30"/>
        <v>113.62164267641468</v>
      </c>
      <c r="BN12">
        <v>152.09861468610001</v>
      </c>
      <c r="BO12" s="4">
        <f t="shared" si="31"/>
        <v>115.08423294301086</v>
      </c>
      <c r="BP12">
        <v>153.83860839330001</v>
      </c>
      <c r="BQ12" s="4">
        <f t="shared" si="32"/>
        <v>115.97250050148062</v>
      </c>
      <c r="BR12">
        <v>150.24487331892001</v>
      </c>
      <c r="BS12" s="4">
        <f t="shared" si="33"/>
        <v>114.12723818513068</v>
      </c>
      <c r="BT12">
        <v>144.72987531161999</v>
      </c>
      <c r="BU12" s="4">
        <f t="shared" si="34"/>
        <v>111.21509641927268</v>
      </c>
      <c r="BV12">
        <v>142.02478349430001</v>
      </c>
      <c r="BW12" s="4">
        <f t="shared" si="35"/>
        <v>109.75112089173554</v>
      </c>
      <c r="BX12">
        <v>136.39765557841201</v>
      </c>
      <c r="BY12" s="4">
        <f t="shared" si="36"/>
        <v>106.63074286275264</v>
      </c>
      <c r="BZ12">
        <v>144.32696041433999</v>
      </c>
      <c r="CA12" s="4">
        <f t="shared" si="37"/>
        <v>110.99852601043204</v>
      </c>
      <c r="CB12">
        <v>149.53931365558199</v>
      </c>
      <c r="CC12" s="4">
        <f t="shared" si="38"/>
        <v>113.76010352984994</v>
      </c>
      <c r="CD12">
        <v>154.31484478697999</v>
      </c>
      <c r="CE12" s="4">
        <f t="shared" si="39"/>
        <v>116.21393067237243</v>
      </c>
      <c r="CF12">
        <f t="shared" si="40"/>
        <v>114.48179414164397</v>
      </c>
    </row>
    <row r="13" spans="1:84" x14ac:dyDescent="0.2">
      <c r="A13" s="2">
        <v>42015</v>
      </c>
      <c r="B13">
        <v>2015</v>
      </c>
      <c r="C13">
        <v>11</v>
      </c>
      <c r="D13">
        <v>18.000271676842001</v>
      </c>
      <c r="E13" s="4">
        <f t="shared" si="0"/>
        <v>17.481856028137809</v>
      </c>
      <c r="F13">
        <v>20.412238921179</v>
      </c>
      <c r="G13" s="4">
        <f t="shared" si="1"/>
        <v>19.745583724738527</v>
      </c>
      <c r="H13">
        <v>26.710820663014999</v>
      </c>
      <c r="I13" s="4">
        <f t="shared" si="2"/>
        <v>25.5692719582282</v>
      </c>
      <c r="J13">
        <v>14.034048667995</v>
      </c>
      <c r="K13" s="4">
        <f t="shared" si="3"/>
        <v>13.718921432769957</v>
      </c>
      <c r="L13">
        <v>30.065095904250001</v>
      </c>
      <c r="M13" s="4">
        <f t="shared" si="4"/>
        <v>28.618839917479203</v>
      </c>
      <c r="N13">
        <v>15.020467984722</v>
      </c>
      <c r="O13" s="4">
        <f t="shared" si="5"/>
        <v>14.659484851153906</v>
      </c>
      <c r="P13">
        <v>7.7906331179519999</v>
      </c>
      <c r="Q13" s="4">
        <f t="shared" si="6"/>
        <v>7.6935227749463513</v>
      </c>
      <c r="R13">
        <v>12.35852914765</v>
      </c>
      <c r="S13" s="4">
        <f t="shared" si="7"/>
        <v>12.114155959340696</v>
      </c>
      <c r="T13">
        <v>12.604380637488999</v>
      </c>
      <c r="U13" s="4">
        <f t="shared" si="8"/>
        <v>12.350187979481467</v>
      </c>
      <c r="V13">
        <v>9.5220094823930008</v>
      </c>
      <c r="W13" s="4">
        <f t="shared" si="9"/>
        <v>9.3769396190605487</v>
      </c>
      <c r="X13">
        <v>13.450085292224999</v>
      </c>
      <c r="Y13" s="4">
        <f t="shared" si="10"/>
        <v>13.160637621235995</v>
      </c>
      <c r="Z13">
        <v>12.852327221615001</v>
      </c>
      <c r="AA13" s="4">
        <f t="shared" si="11"/>
        <v>12.588035517596655</v>
      </c>
      <c r="AB13">
        <v>9.2071345062850014</v>
      </c>
      <c r="AC13" s="4">
        <f t="shared" si="12"/>
        <v>9.0715003849780835</v>
      </c>
      <c r="AD13">
        <v>14.474296954450001</v>
      </c>
      <c r="AE13" s="4">
        <f t="shared" si="13"/>
        <v>14.139088518729039</v>
      </c>
      <c r="AF13">
        <v>11.728971085551001</v>
      </c>
      <c r="AG13" s="4">
        <f t="shared" si="14"/>
        <v>11.508861065189894</v>
      </c>
      <c r="AH13">
        <v>0</v>
      </c>
      <c r="AI13" s="4">
        <f t="shared" si="15"/>
        <v>0</v>
      </c>
      <c r="AJ13">
        <v>14.963850063019001</v>
      </c>
      <c r="AK13" s="4">
        <f t="shared" si="16"/>
        <v>14.60558316908538</v>
      </c>
      <c r="AL13">
        <v>12.844839926709</v>
      </c>
      <c r="AM13" s="4">
        <f t="shared" si="17"/>
        <v>12.580856066320555</v>
      </c>
      <c r="AN13">
        <v>0</v>
      </c>
      <c r="AO13" s="4">
        <f t="shared" si="18"/>
        <v>0</v>
      </c>
      <c r="AP13">
        <v>9.3594014510569998</v>
      </c>
      <c r="AQ13" s="4">
        <f t="shared" si="19"/>
        <v>9.2192440182217226</v>
      </c>
      <c r="AR13">
        <v>8.9166409553610002</v>
      </c>
      <c r="AS13" s="4">
        <f t="shared" si="20"/>
        <v>8.7894305778780879</v>
      </c>
      <c r="AT13">
        <v>0</v>
      </c>
      <c r="AU13" s="4">
        <f t="shared" si="21"/>
        <v>0</v>
      </c>
      <c r="AV13">
        <v>0</v>
      </c>
      <c r="AW13" s="4">
        <f t="shared" si="22"/>
        <v>0</v>
      </c>
      <c r="AX13">
        <v>7.7191440339700002</v>
      </c>
      <c r="AY13" s="4">
        <f t="shared" si="23"/>
        <v>7.6238077385825207</v>
      </c>
      <c r="AZ13">
        <v>7.2011234212820003</v>
      </c>
      <c r="BA13" s="4">
        <f t="shared" si="24"/>
        <v>7.1181535356363419</v>
      </c>
      <c r="BB13">
        <v>0</v>
      </c>
      <c r="BC13" s="4">
        <f t="shared" si="25"/>
        <v>0</v>
      </c>
      <c r="BD13">
        <v>8.5503766112360005</v>
      </c>
      <c r="BE13" s="4">
        <f t="shared" si="26"/>
        <v>8.433402306925645</v>
      </c>
      <c r="BF13">
        <v>0</v>
      </c>
      <c r="BG13" s="4">
        <f t="shared" si="27"/>
        <v>0</v>
      </c>
      <c r="BH13">
        <v>7.2832562214260008</v>
      </c>
      <c r="BI13" s="4">
        <f t="shared" si="28"/>
        <v>7.1983829075268959</v>
      </c>
      <c r="BJ13">
        <v>7.5243406722110002</v>
      </c>
      <c r="BK13" s="4">
        <f t="shared" si="29"/>
        <v>7.4337555481286177</v>
      </c>
      <c r="BL13">
        <v>0</v>
      </c>
      <c r="BM13" s="4">
        <f t="shared" si="30"/>
        <v>0</v>
      </c>
      <c r="BN13">
        <v>8.6569944310560007</v>
      </c>
      <c r="BO13" s="4">
        <f t="shared" si="31"/>
        <v>8.5370847469290663</v>
      </c>
      <c r="BP13">
        <v>0</v>
      </c>
      <c r="BQ13" s="4">
        <f t="shared" si="32"/>
        <v>0</v>
      </c>
      <c r="BR13">
        <v>0</v>
      </c>
      <c r="BS13" s="4">
        <f t="shared" si="33"/>
        <v>0</v>
      </c>
      <c r="BT13">
        <v>8.3498027197639999</v>
      </c>
      <c r="BU13" s="4">
        <f t="shared" si="34"/>
        <v>8.2382519910296335</v>
      </c>
      <c r="BV13">
        <v>10.270186401490999</v>
      </c>
      <c r="BW13" s="4">
        <f t="shared" si="35"/>
        <v>10.101423635536806</v>
      </c>
      <c r="BX13">
        <v>8.3181469822779999</v>
      </c>
      <c r="BY13" s="4">
        <f t="shared" si="36"/>
        <v>8.207440471527951</v>
      </c>
      <c r="BZ13">
        <v>7.2374061962790002</v>
      </c>
      <c r="CA13" s="4">
        <f t="shared" si="37"/>
        <v>7.1535981187591009</v>
      </c>
      <c r="CB13">
        <v>7.173269678425001</v>
      </c>
      <c r="CC13" s="4">
        <f t="shared" si="38"/>
        <v>7.0909404018179423</v>
      </c>
      <c r="CD13">
        <v>8.0060631996189997</v>
      </c>
      <c r="CE13" s="4">
        <f t="shared" si="39"/>
        <v>7.90350792288893</v>
      </c>
      <c r="CF13">
        <f t="shared" si="40"/>
        <v>9.0914149820035366</v>
      </c>
    </row>
    <row r="14" spans="1:84" x14ac:dyDescent="0.2">
      <c r="A14" s="2">
        <v>42016</v>
      </c>
      <c r="B14">
        <v>2015</v>
      </c>
      <c r="C14">
        <v>12</v>
      </c>
      <c r="D14">
        <v>31.331889153039999</v>
      </c>
      <c r="E14" s="4">
        <f t="shared" si="0"/>
        <v>29.761189508402577</v>
      </c>
      <c r="F14">
        <v>33.29319159432</v>
      </c>
      <c r="G14" s="4">
        <f t="shared" si="1"/>
        <v>31.519693023862239</v>
      </c>
      <c r="H14">
        <v>40.763205463330003</v>
      </c>
      <c r="I14" s="4">
        <f t="shared" si="2"/>
        <v>38.10458319189695</v>
      </c>
      <c r="J14">
        <v>31.28728186619</v>
      </c>
      <c r="K14" s="4">
        <f t="shared" si="3"/>
        <v>29.721051455670924</v>
      </c>
      <c r="L14">
        <v>46.271314498779986</v>
      </c>
      <c r="M14" s="4">
        <f t="shared" si="4"/>
        <v>42.845659226067973</v>
      </c>
      <c r="N14">
        <v>26.376463894899999</v>
      </c>
      <c r="O14" s="4">
        <f t="shared" si="5"/>
        <v>25.263315338741656</v>
      </c>
      <c r="P14">
        <v>12.12120491001</v>
      </c>
      <c r="Q14" s="4">
        <f t="shared" si="6"/>
        <v>11.886127136457279</v>
      </c>
      <c r="R14">
        <v>22.971164754859998</v>
      </c>
      <c r="S14" s="4">
        <f t="shared" si="7"/>
        <v>22.126885698548122</v>
      </c>
      <c r="T14">
        <v>19.354676520689999</v>
      </c>
      <c r="U14" s="4">
        <f t="shared" si="8"/>
        <v>18.75531091553712</v>
      </c>
      <c r="V14">
        <v>14.351308007049999</v>
      </c>
      <c r="W14" s="4">
        <f t="shared" si="9"/>
        <v>14.021771940628852</v>
      </c>
      <c r="X14">
        <v>29.05156137058</v>
      </c>
      <c r="Y14" s="4">
        <f t="shared" si="10"/>
        <v>27.701172221670276</v>
      </c>
      <c r="Z14">
        <v>24.56457286633</v>
      </c>
      <c r="AA14" s="4">
        <f t="shared" si="11"/>
        <v>23.599103682161623</v>
      </c>
      <c r="AB14">
        <v>15.04772304504</v>
      </c>
      <c r="AC14" s="4">
        <f t="shared" si="12"/>
        <v>14.685428694895634</v>
      </c>
      <c r="AD14">
        <v>34.767814421060002</v>
      </c>
      <c r="AE14" s="4">
        <f t="shared" si="13"/>
        <v>32.833732949672374</v>
      </c>
      <c r="AF14">
        <v>24.213906129630001</v>
      </c>
      <c r="AG14" s="4">
        <f t="shared" si="14"/>
        <v>23.275804929542748</v>
      </c>
      <c r="AH14">
        <v>16.673450960676998</v>
      </c>
      <c r="AI14" s="4">
        <f t="shared" si="15"/>
        <v>16.228644613576037</v>
      </c>
      <c r="AJ14">
        <v>26.12912888516</v>
      </c>
      <c r="AK14" s="4">
        <f t="shared" si="16"/>
        <v>25.036758683084319</v>
      </c>
      <c r="AL14">
        <v>19.970789801759999</v>
      </c>
      <c r="AM14" s="4">
        <f t="shared" si="17"/>
        <v>19.332657889270266</v>
      </c>
      <c r="AN14">
        <v>16.770213308107</v>
      </c>
      <c r="AO14" s="4">
        <f t="shared" si="18"/>
        <v>16.320229221067944</v>
      </c>
      <c r="AP14">
        <v>30.969792676969998</v>
      </c>
      <c r="AQ14" s="4">
        <f t="shared" si="19"/>
        <v>29.435187783442789</v>
      </c>
      <c r="AR14">
        <v>15.345911913310999</v>
      </c>
      <c r="AS14" s="4">
        <f t="shared" si="20"/>
        <v>14.969116693389239</v>
      </c>
      <c r="AT14">
        <v>3.231760008113</v>
      </c>
      <c r="AU14" s="4">
        <f t="shared" si="21"/>
        <v>3.2150491717129386</v>
      </c>
      <c r="AV14">
        <v>8.6386956864810003</v>
      </c>
      <c r="AW14" s="4">
        <f t="shared" si="22"/>
        <v>8.5192923854191989</v>
      </c>
      <c r="AX14">
        <v>8.3000700097629991</v>
      </c>
      <c r="AY14" s="4">
        <f t="shared" si="23"/>
        <v>8.1898441502958512</v>
      </c>
      <c r="AZ14">
        <v>7.6468996823239994</v>
      </c>
      <c r="BA14" s="4">
        <f t="shared" si="24"/>
        <v>7.5533395627215558</v>
      </c>
      <c r="BB14">
        <v>10.53158579662</v>
      </c>
      <c r="BC14" s="4">
        <f t="shared" si="25"/>
        <v>10.354122917593491</v>
      </c>
      <c r="BD14">
        <v>12.333782746040001</v>
      </c>
      <c r="BE14" s="4">
        <f t="shared" si="26"/>
        <v>12.090387231117578</v>
      </c>
      <c r="BF14">
        <v>12.393593019500001</v>
      </c>
      <c r="BG14" s="4">
        <f t="shared" si="27"/>
        <v>12.147831182807202</v>
      </c>
      <c r="BH14">
        <v>9.159810328759999</v>
      </c>
      <c r="BI14" s="4">
        <f t="shared" si="28"/>
        <v>9.0255669283458264</v>
      </c>
      <c r="BJ14">
        <v>6.0040770117299989</v>
      </c>
      <c r="BK14" s="4">
        <f t="shared" si="29"/>
        <v>5.9463987065095436</v>
      </c>
      <c r="BL14">
        <v>5.0075162450740001</v>
      </c>
      <c r="BM14" s="4">
        <f t="shared" si="30"/>
        <v>4.9673958947625119</v>
      </c>
      <c r="BN14">
        <v>7.6126347617530001</v>
      </c>
      <c r="BO14" s="4">
        <f t="shared" si="31"/>
        <v>7.51991122892764</v>
      </c>
      <c r="BP14">
        <v>7.3257887470250003</v>
      </c>
      <c r="BQ14" s="4">
        <f t="shared" si="32"/>
        <v>7.239921257799339</v>
      </c>
      <c r="BR14">
        <v>0.26966072802199997</v>
      </c>
      <c r="BS14" s="4">
        <f t="shared" si="33"/>
        <v>0.26954438096882016</v>
      </c>
      <c r="BT14">
        <v>13.075577359936</v>
      </c>
      <c r="BU14" s="4">
        <f t="shared" si="34"/>
        <v>12.802024202662928</v>
      </c>
      <c r="BV14">
        <v>6.9671457353259996</v>
      </c>
      <c r="BW14" s="4">
        <f t="shared" si="35"/>
        <v>6.8894799438103655</v>
      </c>
      <c r="BX14">
        <v>5.7551324732019999</v>
      </c>
      <c r="BY14" s="4">
        <f t="shared" si="36"/>
        <v>5.7021379935474332</v>
      </c>
      <c r="BZ14">
        <v>1.3700875022450001</v>
      </c>
      <c r="CA14" s="4">
        <f t="shared" si="37"/>
        <v>1.3670840786229073</v>
      </c>
      <c r="CB14">
        <v>0.65971663977099992</v>
      </c>
      <c r="CC14" s="4">
        <f t="shared" si="38"/>
        <v>0.65902027809933472</v>
      </c>
      <c r="CD14">
        <v>7.1360133333999987E-2</v>
      </c>
      <c r="CE14" s="4">
        <f t="shared" si="39"/>
        <v>7.1351985704192863E-2</v>
      </c>
      <c r="CF14">
        <f t="shared" si="40"/>
        <v>15.85633669319097</v>
      </c>
    </row>
    <row r="15" spans="1:84" x14ac:dyDescent="0.2">
      <c r="A15" s="2">
        <v>42017</v>
      </c>
      <c r="B15">
        <v>2016</v>
      </c>
      <c r="C15">
        <v>1</v>
      </c>
      <c r="D15">
        <v>48.53383423092</v>
      </c>
      <c r="E15" s="4">
        <f t="shared" si="0"/>
        <v>44.764981326672924</v>
      </c>
      <c r="F15">
        <v>50.882623400219998</v>
      </c>
      <c r="G15" s="4">
        <f t="shared" si="1"/>
        <v>46.740157217678217</v>
      </c>
      <c r="H15">
        <v>71.764335890309994</v>
      </c>
      <c r="I15" s="4">
        <f t="shared" si="2"/>
        <v>63.524144041066414</v>
      </c>
      <c r="J15">
        <v>50.272418841329987</v>
      </c>
      <c r="K15" s="4">
        <f t="shared" si="3"/>
        <v>46.228713087477011</v>
      </c>
      <c r="L15">
        <v>73.718372949629995</v>
      </c>
      <c r="M15" s="4">
        <f t="shared" si="4"/>
        <v>65.023335333084816</v>
      </c>
      <c r="N15">
        <v>48.136753499024998</v>
      </c>
      <c r="O15" s="4">
        <f t="shared" si="5"/>
        <v>44.429318239143569</v>
      </c>
      <c r="P15">
        <v>19.207287557565</v>
      </c>
      <c r="Q15" s="4">
        <f t="shared" si="6"/>
        <v>18.617015725054614</v>
      </c>
      <c r="R15">
        <v>37.047647159504997</v>
      </c>
      <c r="S15" s="4">
        <f t="shared" si="7"/>
        <v>34.85160210341671</v>
      </c>
      <c r="T15">
        <v>29.91929509329</v>
      </c>
      <c r="U15" s="4">
        <f t="shared" si="8"/>
        <v>28.487032343083015</v>
      </c>
      <c r="V15">
        <v>17.567993380905001</v>
      </c>
      <c r="W15" s="4">
        <f t="shared" si="9"/>
        <v>17.074178354614567</v>
      </c>
      <c r="X15">
        <v>33.517614484964987</v>
      </c>
      <c r="Y15" s="4">
        <f t="shared" si="10"/>
        <v>31.720125715744611</v>
      </c>
      <c r="Z15">
        <v>19.893797396730001</v>
      </c>
      <c r="AA15" s="4">
        <f t="shared" si="11"/>
        <v>19.260576316950576</v>
      </c>
      <c r="AB15">
        <v>0</v>
      </c>
      <c r="AC15" s="4">
        <f t="shared" si="12"/>
        <v>0</v>
      </c>
      <c r="AD15">
        <v>32.783939653125003</v>
      </c>
      <c r="AE15" s="4">
        <f t="shared" si="13"/>
        <v>31.064280934437413</v>
      </c>
      <c r="AF15">
        <v>17.979880846995002</v>
      </c>
      <c r="AG15" s="4">
        <f t="shared" si="14"/>
        <v>17.462639062559582</v>
      </c>
      <c r="AH15">
        <v>0</v>
      </c>
      <c r="AI15" s="4">
        <f t="shared" si="15"/>
        <v>0</v>
      </c>
      <c r="AJ15">
        <v>35.549904977954988</v>
      </c>
      <c r="AK15" s="4">
        <f t="shared" si="16"/>
        <v>33.527831787648381</v>
      </c>
      <c r="AL15">
        <v>27.992259393045</v>
      </c>
      <c r="AM15" s="4">
        <f t="shared" si="17"/>
        <v>26.738552855560975</v>
      </c>
      <c r="AN15">
        <v>14.237604101804999</v>
      </c>
      <c r="AO15" s="4">
        <f t="shared" si="18"/>
        <v>13.913269108909423</v>
      </c>
      <c r="AP15">
        <v>37.156855816994998</v>
      </c>
      <c r="AQ15" s="4">
        <f t="shared" si="19"/>
        <v>34.947844722267064</v>
      </c>
      <c r="AR15">
        <v>31.948033505249999</v>
      </c>
      <c r="AS15" s="4">
        <f t="shared" si="20"/>
        <v>30.314950553485875</v>
      </c>
      <c r="AT15">
        <v>0</v>
      </c>
      <c r="AU15" s="4">
        <f t="shared" si="21"/>
        <v>0</v>
      </c>
      <c r="AV15">
        <v>0</v>
      </c>
      <c r="AW15" s="4">
        <f t="shared" si="22"/>
        <v>0</v>
      </c>
      <c r="AX15">
        <v>0</v>
      </c>
      <c r="AY15" s="4">
        <f t="shared" si="23"/>
        <v>0</v>
      </c>
      <c r="AZ15">
        <v>0</v>
      </c>
      <c r="BA15" s="4">
        <f t="shared" si="24"/>
        <v>0</v>
      </c>
      <c r="BB15">
        <v>0</v>
      </c>
      <c r="BC15" s="4">
        <f t="shared" si="25"/>
        <v>0</v>
      </c>
      <c r="BD15">
        <v>0</v>
      </c>
      <c r="BE15" s="4">
        <f t="shared" si="26"/>
        <v>0</v>
      </c>
      <c r="BF15">
        <v>0</v>
      </c>
      <c r="BG15" s="4">
        <f t="shared" si="27"/>
        <v>0</v>
      </c>
      <c r="BH15">
        <v>0</v>
      </c>
      <c r="BI15" s="4">
        <f t="shared" si="28"/>
        <v>0</v>
      </c>
      <c r="BJ15">
        <v>0</v>
      </c>
      <c r="BK15" s="4">
        <f t="shared" si="29"/>
        <v>0</v>
      </c>
      <c r="BL15">
        <v>0</v>
      </c>
      <c r="BM15" s="4">
        <f t="shared" si="30"/>
        <v>0</v>
      </c>
      <c r="BN15">
        <v>0</v>
      </c>
      <c r="BO15" s="4">
        <f t="shared" si="31"/>
        <v>0</v>
      </c>
      <c r="BP15">
        <v>0</v>
      </c>
      <c r="BQ15" s="4">
        <f t="shared" si="32"/>
        <v>0</v>
      </c>
      <c r="BR15">
        <v>0</v>
      </c>
      <c r="BS15" s="4">
        <f t="shared" si="33"/>
        <v>0</v>
      </c>
      <c r="BT15">
        <v>13.306940075595</v>
      </c>
      <c r="BU15" s="4">
        <f t="shared" si="34"/>
        <v>13.023620628914237</v>
      </c>
      <c r="BV15">
        <v>13.831405510845</v>
      </c>
      <c r="BW15" s="4">
        <f t="shared" si="35"/>
        <v>13.525313065396308</v>
      </c>
      <c r="BX15">
        <v>0</v>
      </c>
      <c r="BY15" s="4">
        <f t="shared" si="36"/>
        <v>0</v>
      </c>
      <c r="BZ15">
        <v>0</v>
      </c>
      <c r="CA15" s="4">
        <f t="shared" si="37"/>
        <v>0</v>
      </c>
      <c r="CB15">
        <v>0</v>
      </c>
      <c r="CC15" s="4">
        <f t="shared" si="38"/>
        <v>0</v>
      </c>
      <c r="CD15">
        <v>0</v>
      </c>
      <c r="CE15" s="4">
        <f t="shared" si="39"/>
        <v>0</v>
      </c>
      <c r="CF15">
        <f t="shared" si="40"/>
        <v>17.350192865515186</v>
      </c>
    </row>
    <row r="16" spans="1:84" x14ac:dyDescent="0.2">
      <c r="A16" s="2">
        <v>42018</v>
      </c>
      <c r="B16">
        <v>2016</v>
      </c>
      <c r="C16">
        <v>2</v>
      </c>
      <c r="D16">
        <v>4.1293366871400004</v>
      </c>
      <c r="E16" s="4">
        <f t="shared" si="0"/>
        <v>4.1020544127787844</v>
      </c>
      <c r="F16">
        <v>4.5887318343720001</v>
      </c>
      <c r="G16" s="4">
        <f t="shared" si="1"/>
        <v>4.5550414986155534</v>
      </c>
      <c r="H16">
        <v>5.690917007496</v>
      </c>
      <c r="I16" s="4">
        <f t="shared" si="2"/>
        <v>5.6390985492780681</v>
      </c>
      <c r="J16">
        <v>4.2412993698600001</v>
      </c>
      <c r="K16" s="4">
        <f t="shared" si="3"/>
        <v>4.2125175773083603</v>
      </c>
      <c r="L16">
        <v>5.8371427175040003</v>
      </c>
      <c r="M16" s="4">
        <f t="shared" si="4"/>
        <v>5.7826271413367838</v>
      </c>
      <c r="N16">
        <v>4.0188312203760006</v>
      </c>
      <c r="O16" s="4">
        <f t="shared" si="5"/>
        <v>3.9929896133714102</v>
      </c>
      <c r="P16">
        <v>1.489156780104</v>
      </c>
      <c r="Q16" s="4">
        <f t="shared" si="6"/>
        <v>1.4856086394388326</v>
      </c>
      <c r="R16">
        <v>3.1353532161839999</v>
      </c>
      <c r="S16" s="4">
        <f t="shared" si="7"/>
        <v>3.1196245125196231</v>
      </c>
      <c r="T16">
        <v>2.8555405368839999</v>
      </c>
      <c r="U16" s="4">
        <f t="shared" si="8"/>
        <v>2.8424939580715396</v>
      </c>
      <c r="V16">
        <v>1.628201972124</v>
      </c>
      <c r="W16" s="4">
        <f t="shared" si="9"/>
        <v>1.6239603054647544</v>
      </c>
      <c r="X16">
        <v>2.82437170596</v>
      </c>
      <c r="Y16" s="4">
        <f t="shared" si="10"/>
        <v>2.8116083851065166</v>
      </c>
      <c r="Z16">
        <v>1.759193421552</v>
      </c>
      <c r="AA16" s="4">
        <f t="shared" si="11"/>
        <v>1.7542418031609091</v>
      </c>
      <c r="AB16">
        <v>0</v>
      </c>
      <c r="AC16" s="4">
        <f t="shared" si="12"/>
        <v>0</v>
      </c>
      <c r="AD16">
        <v>2.7362489948639999</v>
      </c>
      <c r="AE16" s="4">
        <f t="shared" si="13"/>
        <v>2.7242697011649688</v>
      </c>
      <c r="AF16">
        <v>1.572391682568</v>
      </c>
      <c r="AG16" s="4">
        <f t="shared" si="14"/>
        <v>1.5684358176025455</v>
      </c>
      <c r="AH16">
        <v>0</v>
      </c>
      <c r="AI16" s="4">
        <f t="shared" si="15"/>
        <v>0</v>
      </c>
      <c r="AJ16">
        <v>3.2180517709199998</v>
      </c>
      <c r="AK16" s="4">
        <f t="shared" si="16"/>
        <v>3.2014823993994854</v>
      </c>
      <c r="AL16">
        <v>2.4230633353919999</v>
      </c>
      <c r="AM16" s="4">
        <f t="shared" si="17"/>
        <v>2.4136693579082862</v>
      </c>
      <c r="AN16">
        <v>1.45580494878</v>
      </c>
      <c r="AO16" s="4">
        <f t="shared" si="18"/>
        <v>1.4524139599017725</v>
      </c>
      <c r="AP16">
        <v>3.4970551529759999</v>
      </c>
      <c r="AQ16" s="4">
        <f t="shared" si="19"/>
        <v>3.4774881213872706</v>
      </c>
      <c r="AR16">
        <v>3.3863326721279998</v>
      </c>
      <c r="AS16" s="4">
        <f t="shared" si="20"/>
        <v>3.3679850737818851</v>
      </c>
      <c r="AT16">
        <v>0</v>
      </c>
      <c r="AU16" s="4">
        <f t="shared" si="21"/>
        <v>0</v>
      </c>
      <c r="AV16">
        <v>0</v>
      </c>
      <c r="AW16" s="4">
        <f t="shared" si="22"/>
        <v>0</v>
      </c>
      <c r="AX16">
        <v>0</v>
      </c>
      <c r="AY16" s="4">
        <f t="shared" si="23"/>
        <v>0</v>
      </c>
      <c r="AZ16">
        <v>0</v>
      </c>
      <c r="BA16" s="4">
        <f t="shared" si="24"/>
        <v>0</v>
      </c>
      <c r="BB16">
        <v>1.4031622752840001</v>
      </c>
      <c r="BC16" s="4">
        <f t="shared" si="25"/>
        <v>1.4000120922907517</v>
      </c>
      <c r="BD16">
        <v>1.266197164596</v>
      </c>
      <c r="BE16" s="4">
        <f t="shared" si="26"/>
        <v>1.2636319561805904</v>
      </c>
      <c r="BF16">
        <v>1.3076026183080001</v>
      </c>
      <c r="BG16" s="4">
        <f t="shared" si="27"/>
        <v>1.3048668989361507</v>
      </c>
      <c r="BH16">
        <v>0</v>
      </c>
      <c r="BI16" s="4">
        <f t="shared" si="28"/>
        <v>0</v>
      </c>
      <c r="BJ16">
        <v>0</v>
      </c>
      <c r="BK16" s="4">
        <f t="shared" si="29"/>
        <v>0</v>
      </c>
      <c r="BL16">
        <v>0</v>
      </c>
      <c r="BM16" s="4">
        <f t="shared" si="30"/>
        <v>0</v>
      </c>
      <c r="BN16">
        <v>1.5150358571039999</v>
      </c>
      <c r="BO16" s="4">
        <f t="shared" si="31"/>
        <v>1.5113633232667025</v>
      </c>
      <c r="BP16">
        <v>1.624311035172</v>
      </c>
      <c r="BQ16" s="4">
        <f t="shared" si="32"/>
        <v>1.6200896170296295</v>
      </c>
      <c r="BR16">
        <v>0</v>
      </c>
      <c r="BS16" s="4">
        <f t="shared" si="33"/>
        <v>0</v>
      </c>
      <c r="BT16">
        <v>1.2761529064199999</v>
      </c>
      <c r="BU16" s="4">
        <f t="shared" si="34"/>
        <v>1.2735472004350972</v>
      </c>
      <c r="BV16">
        <v>1.346614605756</v>
      </c>
      <c r="BW16" s="4">
        <f t="shared" si="35"/>
        <v>1.3437132123217035</v>
      </c>
      <c r="BX16">
        <v>0</v>
      </c>
      <c r="BY16" s="4">
        <f t="shared" si="36"/>
        <v>0</v>
      </c>
      <c r="BZ16">
        <v>0</v>
      </c>
      <c r="CA16" s="4">
        <f t="shared" si="37"/>
        <v>0</v>
      </c>
      <c r="CB16">
        <v>0</v>
      </c>
      <c r="CC16" s="4">
        <f t="shared" si="38"/>
        <v>0</v>
      </c>
      <c r="CD16">
        <v>1.387476442296</v>
      </c>
      <c r="CE16" s="4">
        <f t="shared" si="39"/>
        <v>1.3843962968913177</v>
      </c>
      <c r="CF16">
        <f t="shared" si="40"/>
        <v>1.8055824899263757</v>
      </c>
    </row>
    <row r="17" spans="1:84" x14ac:dyDescent="0.2">
      <c r="A17" s="2">
        <v>42019</v>
      </c>
      <c r="B17">
        <v>2016</v>
      </c>
      <c r="C17">
        <v>3</v>
      </c>
      <c r="D17">
        <v>4.4616124391399996</v>
      </c>
      <c r="E17" s="4">
        <f t="shared" si="0"/>
        <v>4.4297628622486576</v>
      </c>
      <c r="F17">
        <v>4.4283411598500004</v>
      </c>
      <c r="G17" s="4">
        <f t="shared" si="1"/>
        <v>4.3969648311651657</v>
      </c>
      <c r="H17">
        <v>5.3098226738999994</v>
      </c>
      <c r="I17" s="4">
        <f t="shared" si="2"/>
        <v>5.2647119269747789</v>
      </c>
      <c r="J17">
        <v>4.8485179138499994</v>
      </c>
      <c r="K17" s="4">
        <f t="shared" si="3"/>
        <v>4.8109049123125205</v>
      </c>
      <c r="L17">
        <v>6.8916518783099994</v>
      </c>
      <c r="M17" s="4">
        <f t="shared" si="4"/>
        <v>6.8156600933310978</v>
      </c>
      <c r="N17">
        <v>4.8947710415400003</v>
      </c>
      <c r="O17" s="4">
        <f t="shared" si="5"/>
        <v>4.8564369878614428</v>
      </c>
      <c r="P17">
        <v>2.0785647439799999</v>
      </c>
      <c r="Q17" s="4">
        <f t="shared" si="6"/>
        <v>2.0716520537481333</v>
      </c>
      <c r="R17">
        <v>3.6033253382699999</v>
      </c>
      <c r="S17" s="4">
        <f t="shared" si="7"/>
        <v>3.58255101268053</v>
      </c>
      <c r="T17">
        <v>3.0770864438399999</v>
      </c>
      <c r="U17" s="4">
        <f t="shared" si="8"/>
        <v>3.0619369062674178</v>
      </c>
      <c r="V17">
        <v>2.2253462076599999</v>
      </c>
      <c r="W17" s="4">
        <f t="shared" si="9"/>
        <v>2.2174227424696853</v>
      </c>
      <c r="X17">
        <v>3.3417960548400001</v>
      </c>
      <c r="Y17" s="4">
        <f t="shared" si="10"/>
        <v>3.3239278934445693</v>
      </c>
      <c r="Z17">
        <v>2.3129767227600002</v>
      </c>
      <c r="AA17" s="4">
        <f t="shared" si="11"/>
        <v>2.3044169446479525</v>
      </c>
      <c r="AB17">
        <v>1.2967600392900001</v>
      </c>
      <c r="AC17" s="4">
        <f t="shared" si="12"/>
        <v>1.2940695007308012</v>
      </c>
      <c r="AD17">
        <v>2.9667289066200002</v>
      </c>
      <c r="AE17" s="4">
        <f t="shared" si="13"/>
        <v>2.9526465379714004</v>
      </c>
      <c r="AF17">
        <v>2.0536886071799998</v>
      </c>
      <c r="AG17" s="4">
        <f t="shared" si="14"/>
        <v>2.0469403881475823</v>
      </c>
      <c r="AH17">
        <v>0.97688258171999998</v>
      </c>
      <c r="AI17" s="4">
        <f t="shared" si="15"/>
        <v>0.97535570239445135</v>
      </c>
      <c r="AJ17">
        <v>3.1860886716899999</v>
      </c>
      <c r="AK17" s="4">
        <f t="shared" si="16"/>
        <v>3.1698468140518057</v>
      </c>
      <c r="AL17">
        <v>2.30355440136</v>
      </c>
      <c r="AM17" s="4">
        <f t="shared" si="17"/>
        <v>2.2950642207519598</v>
      </c>
      <c r="AN17">
        <v>1.51455420972</v>
      </c>
      <c r="AO17" s="4">
        <f t="shared" si="18"/>
        <v>1.5108840105933112</v>
      </c>
      <c r="AP17">
        <v>3.1431097697400001</v>
      </c>
      <c r="AQ17" s="4">
        <f t="shared" si="19"/>
        <v>3.1273031473005841</v>
      </c>
      <c r="AR17">
        <v>2.82822585579</v>
      </c>
      <c r="AS17" s="4">
        <f t="shared" si="20"/>
        <v>2.8154276774038252</v>
      </c>
      <c r="AT17">
        <v>1.1025649737900001</v>
      </c>
      <c r="AU17" s="4">
        <f t="shared" si="21"/>
        <v>1.1006199345557146</v>
      </c>
      <c r="AV17">
        <v>1.1511516666599999</v>
      </c>
      <c r="AW17" s="4">
        <f t="shared" si="22"/>
        <v>1.1490314264045534</v>
      </c>
      <c r="AX17">
        <v>1.32458179959</v>
      </c>
      <c r="AY17" s="4">
        <f t="shared" si="23"/>
        <v>1.3217745724799117</v>
      </c>
      <c r="AZ17">
        <v>1.1663503932599999</v>
      </c>
      <c r="BA17" s="4">
        <f t="shared" si="24"/>
        <v>1.1641737960762275</v>
      </c>
      <c r="BB17">
        <v>1.59643604286</v>
      </c>
      <c r="BC17" s="4">
        <f t="shared" si="25"/>
        <v>1.5923582699976919</v>
      </c>
      <c r="BD17">
        <v>1.5261699342599999</v>
      </c>
      <c r="BE17" s="4">
        <f t="shared" si="26"/>
        <v>1.5224432227908171</v>
      </c>
      <c r="BF17">
        <v>1.8742689513899999</v>
      </c>
      <c r="BG17" s="4">
        <f t="shared" si="27"/>
        <v>1.8686483368265687</v>
      </c>
      <c r="BH17">
        <v>1.3841035366500001</v>
      </c>
      <c r="BI17" s="4">
        <f t="shared" si="28"/>
        <v>1.3810383484897326</v>
      </c>
      <c r="BJ17">
        <v>1.63921525956</v>
      </c>
      <c r="BK17" s="4">
        <f t="shared" si="29"/>
        <v>1.6349160168925212</v>
      </c>
      <c r="BL17">
        <v>1.62298497681</v>
      </c>
      <c r="BM17" s="4">
        <f t="shared" si="30"/>
        <v>1.6187704484340784</v>
      </c>
      <c r="BN17">
        <v>1.73987414361</v>
      </c>
      <c r="BO17" s="4">
        <f t="shared" si="31"/>
        <v>1.7350306843530359</v>
      </c>
      <c r="BP17">
        <v>1.6292844772199999</v>
      </c>
      <c r="BQ17" s="4">
        <f t="shared" si="32"/>
        <v>1.6250371685676637</v>
      </c>
      <c r="BR17">
        <v>1.1019721842000001</v>
      </c>
      <c r="BS17" s="4">
        <f t="shared" si="33"/>
        <v>1.1000292358883994</v>
      </c>
      <c r="BT17">
        <v>1.7087003516699999</v>
      </c>
      <c r="BU17" s="4">
        <f t="shared" si="34"/>
        <v>1.7040289006431244</v>
      </c>
      <c r="BV17">
        <v>2.09891442771</v>
      </c>
      <c r="BW17" s="4">
        <f t="shared" si="35"/>
        <v>2.0918657208702411</v>
      </c>
      <c r="BX17">
        <v>1.3534613370899999</v>
      </c>
      <c r="BY17" s="4">
        <f t="shared" si="36"/>
        <v>1.350530364944404</v>
      </c>
      <c r="BZ17">
        <v>1.37760864264</v>
      </c>
      <c r="CA17" s="4">
        <f t="shared" si="37"/>
        <v>1.3745721537243578</v>
      </c>
      <c r="CB17">
        <v>1.2095110845899999</v>
      </c>
      <c r="CC17" s="4">
        <f t="shared" si="38"/>
        <v>1.207170417288006</v>
      </c>
      <c r="CD17">
        <v>1.3997981500200001</v>
      </c>
      <c r="CE17" s="4">
        <f t="shared" si="39"/>
        <v>1.396663054242721</v>
      </c>
      <c r="CF17">
        <f t="shared" si="40"/>
        <v>2.4027807691999072</v>
      </c>
    </row>
    <row r="18" spans="1:84" x14ac:dyDescent="0.2">
      <c r="A18" s="2">
        <v>42020</v>
      </c>
      <c r="B18">
        <v>2016</v>
      </c>
      <c r="C18">
        <v>4</v>
      </c>
      <c r="D18">
        <v>8.7587076285999999</v>
      </c>
      <c r="E18" s="4">
        <f t="shared" si="0"/>
        <v>8.6359636936827258</v>
      </c>
      <c r="F18">
        <v>10.733547356840001</v>
      </c>
      <c r="G18" s="4">
        <f t="shared" si="1"/>
        <v>10.549212894661558</v>
      </c>
      <c r="H18">
        <v>11.79510271404</v>
      </c>
      <c r="I18" s="4">
        <f t="shared" si="2"/>
        <v>11.572503597184395</v>
      </c>
      <c r="J18">
        <v>7.9147053643599996</v>
      </c>
      <c r="K18" s="4">
        <f t="shared" si="3"/>
        <v>7.8144772667525935</v>
      </c>
      <c r="L18">
        <v>9.874527114000001</v>
      </c>
      <c r="M18" s="4">
        <f t="shared" si="4"/>
        <v>9.718517056839806</v>
      </c>
      <c r="N18">
        <v>8.6415006341600016</v>
      </c>
      <c r="O18" s="4">
        <f t="shared" si="5"/>
        <v>8.5220197810237028</v>
      </c>
      <c r="P18">
        <v>6.5789879596</v>
      </c>
      <c r="Q18" s="4">
        <f t="shared" si="6"/>
        <v>6.5097350274839005</v>
      </c>
      <c r="R18">
        <v>6.3319681539200001</v>
      </c>
      <c r="S18" s="4">
        <f t="shared" si="7"/>
        <v>6.2678180407963895</v>
      </c>
      <c r="T18">
        <v>7.0133123449500001</v>
      </c>
      <c r="U18" s="4">
        <f t="shared" si="8"/>
        <v>6.9346138648734748</v>
      </c>
      <c r="V18">
        <v>6.0322938589339996</v>
      </c>
      <c r="W18" s="4">
        <f t="shared" si="9"/>
        <v>5.9740721482131462</v>
      </c>
      <c r="X18">
        <v>6.7746363872000002</v>
      </c>
      <c r="Y18" s="4">
        <f t="shared" si="10"/>
        <v>6.7012032701139619</v>
      </c>
      <c r="Z18">
        <v>5.8547695706000003</v>
      </c>
      <c r="AA18" s="4">
        <f t="shared" si="11"/>
        <v>5.7999242478402824</v>
      </c>
      <c r="AB18">
        <v>4.0613829115079998</v>
      </c>
      <c r="AC18" s="4">
        <f t="shared" si="12"/>
        <v>4.0349911816617769</v>
      </c>
      <c r="AD18">
        <v>7.4872004484800003</v>
      </c>
      <c r="AE18" s="4">
        <f t="shared" si="13"/>
        <v>7.39750737559085</v>
      </c>
      <c r="AF18">
        <v>6.6121831230800003</v>
      </c>
      <c r="AG18" s="4">
        <f t="shared" si="14"/>
        <v>6.54222957803497</v>
      </c>
      <c r="AH18">
        <v>5.69087841248</v>
      </c>
      <c r="AI18" s="4">
        <f t="shared" si="15"/>
        <v>5.6390606571109911</v>
      </c>
      <c r="AJ18">
        <v>9.3673536147600007</v>
      </c>
      <c r="AK18" s="4">
        <f t="shared" si="16"/>
        <v>9.2269579127696684</v>
      </c>
      <c r="AL18">
        <v>9.921334335600001</v>
      </c>
      <c r="AM18" s="4">
        <f t="shared" si="17"/>
        <v>9.7638417356019929</v>
      </c>
      <c r="AN18">
        <v>9.1710942765199999</v>
      </c>
      <c r="AO18" s="4">
        <f t="shared" si="18"/>
        <v>9.0365199241538896</v>
      </c>
      <c r="AP18">
        <v>11.39559899692</v>
      </c>
      <c r="AQ18" s="4">
        <f t="shared" si="19"/>
        <v>11.187823514522233</v>
      </c>
      <c r="AR18">
        <v>12.54492419636</v>
      </c>
      <c r="AS18" s="4">
        <f t="shared" si="20"/>
        <v>12.29312399941213</v>
      </c>
      <c r="AT18">
        <v>9.1376936994300006</v>
      </c>
      <c r="AU18" s="4">
        <f t="shared" si="21"/>
        <v>9.0040977855986366</v>
      </c>
      <c r="AV18">
        <v>7.5337357651119996</v>
      </c>
      <c r="AW18" s="4">
        <f t="shared" si="22"/>
        <v>7.4429242857863551</v>
      </c>
      <c r="AX18">
        <v>9.7298489314240015</v>
      </c>
      <c r="AY18" s="4">
        <f t="shared" si="23"/>
        <v>9.5783769950586688</v>
      </c>
      <c r="AZ18">
        <v>9.7758761586479999</v>
      </c>
      <c r="BA18" s="4">
        <f t="shared" si="24"/>
        <v>9.622967751177244</v>
      </c>
      <c r="BB18">
        <v>6.1202754081419997</v>
      </c>
      <c r="BC18" s="4">
        <f t="shared" si="25"/>
        <v>6.060342974427587</v>
      </c>
      <c r="BD18">
        <v>6.8199340095839993</v>
      </c>
      <c r="BE18" s="4">
        <f t="shared" si="26"/>
        <v>6.7455156097518714</v>
      </c>
      <c r="BF18">
        <v>6.3171834471419999</v>
      </c>
      <c r="BG18" s="4">
        <f t="shared" si="27"/>
        <v>6.2533325564142475</v>
      </c>
      <c r="BH18">
        <v>6.8673904155600001</v>
      </c>
      <c r="BI18" s="4">
        <f t="shared" si="28"/>
        <v>6.791932733768439</v>
      </c>
      <c r="BJ18">
        <v>6.58203041224</v>
      </c>
      <c r="BK18" s="4">
        <f t="shared" si="29"/>
        <v>6.5127134132837563</v>
      </c>
      <c r="BL18">
        <v>7.434364651688</v>
      </c>
      <c r="BM18" s="4">
        <f t="shared" si="30"/>
        <v>7.3459330072491715</v>
      </c>
      <c r="BN18">
        <v>7.8516339962180002</v>
      </c>
      <c r="BO18" s="4">
        <f t="shared" si="31"/>
        <v>7.7529969459610939</v>
      </c>
      <c r="BP18">
        <v>8.6831102545219991</v>
      </c>
      <c r="BQ18" s="4">
        <f t="shared" si="32"/>
        <v>8.5624760086145031</v>
      </c>
      <c r="BR18">
        <v>8.508371888988</v>
      </c>
      <c r="BS18" s="4">
        <f t="shared" si="33"/>
        <v>8.3925440614658857</v>
      </c>
      <c r="BT18">
        <v>6.6959037892680007</v>
      </c>
      <c r="BU18" s="4">
        <f t="shared" si="34"/>
        <v>6.6241675851797872</v>
      </c>
      <c r="BV18">
        <v>6.3317099324399999</v>
      </c>
      <c r="BW18" s="4">
        <f t="shared" si="35"/>
        <v>6.2675650513703047</v>
      </c>
      <c r="BX18">
        <v>5.9147058327439996</v>
      </c>
      <c r="BY18" s="4">
        <f t="shared" si="36"/>
        <v>5.8587318406033662</v>
      </c>
      <c r="BZ18">
        <v>6.9368193170880001</v>
      </c>
      <c r="CA18" s="4">
        <f t="shared" si="37"/>
        <v>6.8598281775073193</v>
      </c>
      <c r="CB18">
        <v>8.3215080529119998</v>
      </c>
      <c r="CC18" s="4">
        <f t="shared" si="38"/>
        <v>8.2107120588725131</v>
      </c>
      <c r="CD18">
        <v>10.663901170758001</v>
      </c>
      <c r="CE18" s="4">
        <f t="shared" si="39"/>
        <v>10.48195110967049</v>
      </c>
      <c r="CF18">
        <f t="shared" si="40"/>
        <v>7.7921138044849059</v>
      </c>
    </row>
    <row r="19" spans="1:84" x14ac:dyDescent="0.2">
      <c r="A19" s="2">
        <v>42021</v>
      </c>
      <c r="B19">
        <v>2016</v>
      </c>
      <c r="C19">
        <v>5</v>
      </c>
      <c r="D19">
        <v>105.21046272223001</v>
      </c>
      <c r="E19" s="4">
        <f t="shared" si="0"/>
        <v>87.499676376268809</v>
      </c>
      <c r="F19">
        <v>95.984935500894991</v>
      </c>
      <c r="G19" s="4">
        <f t="shared" si="1"/>
        <v>81.243962951917439</v>
      </c>
      <c r="H19">
        <v>114.51205149979999</v>
      </c>
      <c r="I19" s="4">
        <f t="shared" si="2"/>
        <v>93.531235597891438</v>
      </c>
      <c r="J19">
        <v>104.14367188527</v>
      </c>
      <c r="K19" s="4">
        <f t="shared" si="3"/>
        <v>86.790224855275156</v>
      </c>
      <c r="L19">
        <v>110.19065694818499</v>
      </c>
      <c r="M19" s="4">
        <f t="shared" si="4"/>
        <v>90.763487542308852</v>
      </c>
      <c r="N19">
        <v>101.62921933208</v>
      </c>
      <c r="O19" s="4">
        <f t="shared" si="5"/>
        <v>85.103622176803171</v>
      </c>
      <c r="P19">
        <v>99.864083514974993</v>
      </c>
      <c r="Q19" s="4">
        <f t="shared" si="6"/>
        <v>83.907547232917551</v>
      </c>
      <c r="R19">
        <v>97.064947355889998</v>
      </c>
      <c r="S19" s="4">
        <f t="shared" si="7"/>
        <v>81.990380947567274</v>
      </c>
      <c r="T19">
        <v>96.731568832859992</v>
      </c>
      <c r="U19" s="4">
        <f t="shared" si="8"/>
        <v>81.760374578673861</v>
      </c>
      <c r="V19">
        <v>95.051336998384997</v>
      </c>
      <c r="W19" s="4">
        <f t="shared" si="9"/>
        <v>80.595726334096113</v>
      </c>
      <c r="X19">
        <v>91.630087157630001</v>
      </c>
      <c r="Y19" s="4">
        <f t="shared" si="10"/>
        <v>78.196370561606201</v>
      </c>
      <c r="Z19">
        <v>90.340558678234999</v>
      </c>
      <c r="AA19" s="4">
        <f t="shared" si="11"/>
        <v>77.282292210562005</v>
      </c>
      <c r="AB19">
        <v>85.565975924095</v>
      </c>
      <c r="AC19" s="4">
        <f t="shared" si="12"/>
        <v>73.851517946746512</v>
      </c>
      <c r="AD19">
        <v>89.549445271194998</v>
      </c>
      <c r="AE19" s="4">
        <f t="shared" si="13"/>
        <v>76.718880233788994</v>
      </c>
      <c r="AF19">
        <v>91.523467977544996</v>
      </c>
      <c r="AG19" s="4">
        <f t="shared" si="14"/>
        <v>78.120995672526263</v>
      </c>
      <c r="AH19">
        <v>87.763613902689997</v>
      </c>
      <c r="AI19" s="4">
        <f t="shared" si="15"/>
        <v>75.439690822273292</v>
      </c>
      <c r="AJ19">
        <v>92.361940736365</v>
      </c>
      <c r="AK19" s="4">
        <f t="shared" si="16"/>
        <v>78.712775781824533</v>
      </c>
      <c r="AL19">
        <v>96.48987456335999</v>
      </c>
      <c r="AM19" s="4">
        <f t="shared" si="17"/>
        <v>81.593401134155272</v>
      </c>
      <c r="AN19">
        <v>100.088401382955</v>
      </c>
      <c r="AO19" s="4">
        <f t="shared" si="18"/>
        <v>84.060100436722195</v>
      </c>
      <c r="AP19">
        <v>91.108532320114989</v>
      </c>
      <c r="AQ19" s="4">
        <f t="shared" si="19"/>
        <v>77.827308861674297</v>
      </c>
      <c r="AR19">
        <v>97.639231538904994</v>
      </c>
      <c r="AS19" s="4">
        <f t="shared" si="20"/>
        <v>82.385760282092349</v>
      </c>
      <c r="AT19">
        <v>114.338458017875</v>
      </c>
      <c r="AU19" s="4">
        <f t="shared" si="21"/>
        <v>93.421205246826418</v>
      </c>
      <c r="AV19">
        <v>96.206440246654992</v>
      </c>
      <c r="AW19" s="4">
        <f t="shared" si="22"/>
        <v>81.397353614761869</v>
      </c>
      <c r="AX19">
        <v>106.99077447451501</v>
      </c>
      <c r="AY19" s="4">
        <f t="shared" si="23"/>
        <v>88.675533158264557</v>
      </c>
      <c r="AZ19">
        <v>112.775461301505</v>
      </c>
      <c r="BA19" s="4">
        <f t="shared" si="24"/>
        <v>92.426173826677399</v>
      </c>
      <c r="BB19">
        <v>104.581838664885</v>
      </c>
      <c r="BC19" s="4">
        <f t="shared" si="25"/>
        <v>87.08206109924015</v>
      </c>
      <c r="BD19">
        <v>107.23467755284</v>
      </c>
      <c r="BE19" s="4">
        <f t="shared" si="26"/>
        <v>88.835835841061495</v>
      </c>
      <c r="BF19">
        <v>108.22565176681</v>
      </c>
      <c r="BG19" s="4">
        <f t="shared" si="27"/>
        <v>89.485185046248674</v>
      </c>
      <c r="BH19">
        <v>109.29548098424</v>
      </c>
      <c r="BI19" s="4">
        <f t="shared" si="28"/>
        <v>90.182677522517807</v>
      </c>
      <c r="BJ19">
        <v>109.20215127023999</v>
      </c>
      <c r="BK19" s="4">
        <f t="shared" si="29"/>
        <v>90.121975522962586</v>
      </c>
      <c r="BL19">
        <v>111.656658735715</v>
      </c>
      <c r="BM19" s="4">
        <f t="shared" si="30"/>
        <v>91.709123631676732</v>
      </c>
      <c r="BN19">
        <v>110.884192991825</v>
      </c>
      <c r="BO19" s="4">
        <f t="shared" si="31"/>
        <v>91.211706183107736</v>
      </c>
      <c r="BP19">
        <v>109.71053295631</v>
      </c>
      <c r="BQ19" s="4">
        <f t="shared" si="32"/>
        <v>90.452291289817865</v>
      </c>
      <c r="BR19">
        <v>110.557058654645</v>
      </c>
      <c r="BS19" s="4">
        <f t="shared" si="33"/>
        <v>91.000477505258416</v>
      </c>
      <c r="BT19">
        <v>100.94573897871</v>
      </c>
      <c r="BU19" s="4">
        <f t="shared" si="34"/>
        <v>84.641671429977436</v>
      </c>
      <c r="BV19">
        <v>99.886757761615002</v>
      </c>
      <c r="BW19" s="4">
        <f t="shared" si="35"/>
        <v>83.922974759810913</v>
      </c>
      <c r="BX19">
        <v>98.285942920469992</v>
      </c>
      <c r="BY19" s="4">
        <f t="shared" si="36"/>
        <v>82.829740399244571</v>
      </c>
      <c r="BZ19">
        <v>106.05846851107</v>
      </c>
      <c r="CA19" s="4">
        <f t="shared" si="37"/>
        <v>88.061030522408203</v>
      </c>
      <c r="CB19">
        <v>119.56101521095999</v>
      </c>
      <c r="CC19" s="4">
        <f t="shared" si="38"/>
        <v>96.689277037719336</v>
      </c>
      <c r="CD19">
        <v>119.12377441904999</v>
      </c>
      <c r="CE19" s="4">
        <f t="shared" si="39"/>
        <v>96.419016608104855</v>
      </c>
      <c r="CF19">
        <f t="shared" si="40"/>
        <v>85.281870737234854</v>
      </c>
    </row>
    <row r="20" spans="1:84" x14ac:dyDescent="0.2">
      <c r="A20" s="2">
        <v>42022</v>
      </c>
      <c r="B20">
        <v>2016</v>
      </c>
      <c r="C20">
        <v>6</v>
      </c>
      <c r="D20">
        <v>279.90806269338901</v>
      </c>
      <c r="E20" s="4">
        <f t="shared" si="0"/>
        <v>152.99080626933892</v>
      </c>
      <c r="F20">
        <v>243.364635373938</v>
      </c>
      <c r="G20" s="4">
        <f t="shared" si="1"/>
        <v>148.60248217283433</v>
      </c>
      <c r="H20">
        <v>262.36591898735401</v>
      </c>
      <c r="I20" s="4">
        <f t="shared" si="2"/>
        <v>151.23659189873541</v>
      </c>
      <c r="J20">
        <v>291.42912154028397</v>
      </c>
      <c r="K20" s="4">
        <f t="shared" si="3"/>
        <v>154.14291215402841</v>
      </c>
      <c r="L20">
        <v>292.87723053661801</v>
      </c>
      <c r="M20" s="4">
        <f t="shared" si="4"/>
        <v>154.28772305366181</v>
      </c>
      <c r="N20">
        <v>300.53418310043702</v>
      </c>
      <c r="O20" s="4">
        <f t="shared" si="5"/>
        <v>155.0534183100437</v>
      </c>
      <c r="P20">
        <v>204.26154250304401</v>
      </c>
      <c r="Q20" s="4">
        <f t="shared" si="6"/>
        <v>137.50509810988743</v>
      </c>
      <c r="R20">
        <v>273.09008461526997</v>
      </c>
      <c r="S20" s="4">
        <f t="shared" si="7"/>
        <v>152.30900846152701</v>
      </c>
      <c r="T20">
        <v>249.376245131442</v>
      </c>
      <c r="U20" s="4">
        <f t="shared" si="8"/>
        <v>149.87462651407071</v>
      </c>
      <c r="V20">
        <v>219.28510680125399</v>
      </c>
      <c r="W20" s="4">
        <f t="shared" si="9"/>
        <v>142.3475738975142</v>
      </c>
      <c r="X20">
        <v>285.72450004289101</v>
      </c>
      <c r="Y20" s="4">
        <f t="shared" si="10"/>
        <v>153.5724500042891</v>
      </c>
      <c r="Z20">
        <v>251.88306671408401</v>
      </c>
      <c r="AA20" s="4">
        <f t="shared" si="11"/>
        <v>150.18830667140841</v>
      </c>
      <c r="AB20">
        <v>235.62332358278999</v>
      </c>
      <c r="AC20" s="4">
        <f t="shared" si="12"/>
        <v>146.79396259686973</v>
      </c>
      <c r="AD20">
        <v>259.44245734227599</v>
      </c>
      <c r="AE20" s="4">
        <f t="shared" si="13"/>
        <v>150.94424573422759</v>
      </c>
      <c r="AF20">
        <v>228.710323624224</v>
      </c>
      <c r="AG20" s="4">
        <f t="shared" si="14"/>
        <v>145.01686421254837</v>
      </c>
      <c r="AH20">
        <v>228.595816416942</v>
      </c>
      <c r="AI20" s="4">
        <f t="shared" si="15"/>
        <v>144.98614076361676</v>
      </c>
      <c r="AJ20">
        <v>229.10277223177499</v>
      </c>
      <c r="AK20" s="4">
        <f t="shared" si="16"/>
        <v>145.12184384091967</v>
      </c>
      <c r="AL20">
        <v>217.14267099275401</v>
      </c>
      <c r="AM20" s="4">
        <f t="shared" si="17"/>
        <v>141.70116768736614</v>
      </c>
      <c r="AN20">
        <v>219.78077542679699</v>
      </c>
      <c r="AO20" s="4">
        <f t="shared" si="18"/>
        <v>142.49503263127033</v>
      </c>
      <c r="AP20">
        <v>243.74390629481101</v>
      </c>
      <c r="AQ20" s="4">
        <f t="shared" si="19"/>
        <v>148.68615932544523</v>
      </c>
      <c r="AR20">
        <v>221.30017458849301</v>
      </c>
      <c r="AS20" s="4">
        <f t="shared" si="20"/>
        <v>142.94214695185701</v>
      </c>
      <c r="AT20">
        <v>245.48484767219401</v>
      </c>
      <c r="AU20" s="4">
        <f t="shared" si="21"/>
        <v>149.06435097356953</v>
      </c>
      <c r="AV20">
        <v>227.741647434171</v>
      </c>
      <c r="AW20" s="4">
        <f t="shared" si="22"/>
        <v>144.7556346725226</v>
      </c>
      <c r="AX20">
        <v>217.013046415308</v>
      </c>
      <c r="AY20" s="4">
        <f t="shared" si="23"/>
        <v>141.66158671218381</v>
      </c>
      <c r="AZ20">
        <v>229.12097563492799</v>
      </c>
      <c r="BA20" s="4">
        <f t="shared" si="24"/>
        <v>145.12670127348596</v>
      </c>
      <c r="BB20">
        <v>224.717052393834</v>
      </c>
      <c r="BC20" s="4">
        <f t="shared" si="25"/>
        <v>143.92064657531699</v>
      </c>
      <c r="BD20">
        <v>227.27757456202499</v>
      </c>
      <c r="BE20" s="4">
        <f t="shared" si="26"/>
        <v>144.62942112395007</v>
      </c>
      <c r="BF20">
        <v>248.235774927036</v>
      </c>
      <c r="BG20" s="4">
        <f t="shared" si="27"/>
        <v>149.64217500123425</v>
      </c>
      <c r="BH20">
        <v>243.415204454682</v>
      </c>
      <c r="BI20" s="4">
        <f t="shared" si="28"/>
        <v>148.61366563913856</v>
      </c>
      <c r="BJ20">
        <v>231.491996152794</v>
      </c>
      <c r="BK20" s="4">
        <f t="shared" si="29"/>
        <v>145.75032530030569</v>
      </c>
      <c r="BL20">
        <v>247.81081090178401</v>
      </c>
      <c r="BM20" s="4">
        <f t="shared" si="30"/>
        <v>149.5544941021044</v>
      </c>
      <c r="BN20">
        <v>249.582362059524</v>
      </c>
      <c r="BO20" s="4">
        <f t="shared" si="31"/>
        <v>149.91619333758587</v>
      </c>
      <c r="BP20">
        <v>241.14986315004001</v>
      </c>
      <c r="BQ20" s="4">
        <f t="shared" si="32"/>
        <v>148.10465275438716</v>
      </c>
      <c r="BR20">
        <v>252.23436287505299</v>
      </c>
      <c r="BS20" s="4">
        <f t="shared" si="33"/>
        <v>150.22343628750531</v>
      </c>
      <c r="BT20">
        <v>214.93047391779601</v>
      </c>
      <c r="BU20" s="4">
        <f t="shared" si="34"/>
        <v>141.0183001281506</v>
      </c>
      <c r="BV20">
        <v>220.633279249617</v>
      </c>
      <c r="BW20" s="4">
        <f t="shared" si="35"/>
        <v>142.74680898971386</v>
      </c>
      <c r="BX20">
        <v>227.020301224782</v>
      </c>
      <c r="BY20" s="4">
        <f t="shared" si="36"/>
        <v>144.55915375567676</v>
      </c>
      <c r="BZ20">
        <v>234.57368702781</v>
      </c>
      <c r="CA20" s="4">
        <f t="shared" si="37"/>
        <v>146.53398359449648</v>
      </c>
      <c r="CB20">
        <v>246.79723779125999</v>
      </c>
      <c r="CC20" s="4">
        <f t="shared" si="38"/>
        <v>149.34303526102681</v>
      </c>
      <c r="CD20">
        <v>230.01371711592299</v>
      </c>
      <c r="CE20" s="4">
        <f t="shared" si="39"/>
        <v>145.36362101754884</v>
      </c>
      <c r="CF20">
        <f t="shared" si="40"/>
        <v>147.17002034125659</v>
      </c>
    </row>
    <row r="21" spans="1:84" x14ac:dyDescent="0.2">
      <c r="A21" s="2">
        <v>42023</v>
      </c>
      <c r="B21">
        <v>2016</v>
      </c>
      <c r="C21">
        <v>7</v>
      </c>
      <c r="D21">
        <v>215.71977328784999</v>
      </c>
      <c r="E21" s="4">
        <f t="shared" si="0"/>
        <v>141.26374034807176</v>
      </c>
      <c r="F21">
        <v>223.387059144055</v>
      </c>
      <c r="G21" s="4">
        <f t="shared" si="1"/>
        <v>143.54421403520774</v>
      </c>
      <c r="H21">
        <v>215.28515152551</v>
      </c>
      <c r="I21" s="4">
        <f t="shared" si="2"/>
        <v>141.12883717773113</v>
      </c>
      <c r="J21">
        <v>240.17589738692999</v>
      </c>
      <c r="K21" s="4">
        <f t="shared" si="3"/>
        <v>147.88075868994255</v>
      </c>
      <c r="L21">
        <v>229.55969337952499</v>
      </c>
      <c r="M21" s="4">
        <f t="shared" si="4"/>
        <v>145.24344886032256</v>
      </c>
      <c r="N21">
        <v>222.03548290454501</v>
      </c>
      <c r="O21" s="4">
        <f t="shared" si="5"/>
        <v>143.15587383469779</v>
      </c>
      <c r="P21">
        <v>213.97878879568501</v>
      </c>
      <c r="Q21" s="4">
        <f t="shared" si="6"/>
        <v>140.71971350853562</v>
      </c>
      <c r="R21">
        <v>230.88599750245501</v>
      </c>
      <c r="S21" s="4">
        <f t="shared" si="7"/>
        <v>145.59264735412913</v>
      </c>
      <c r="T21">
        <v>209.58455733400999</v>
      </c>
      <c r="U21" s="4">
        <f t="shared" si="8"/>
        <v>139.30345865738133</v>
      </c>
      <c r="V21">
        <v>199.70006457356999</v>
      </c>
      <c r="W21" s="4">
        <f t="shared" si="9"/>
        <v>135.89187930846916</v>
      </c>
      <c r="X21">
        <v>216.61129708774499</v>
      </c>
      <c r="Y21" s="4">
        <f t="shared" si="10"/>
        <v>141.53857064608849</v>
      </c>
      <c r="Z21">
        <v>186.53066734468001</v>
      </c>
      <c r="AA21" s="4">
        <f t="shared" si="11"/>
        <v>130.86076356859735</v>
      </c>
      <c r="AB21">
        <v>170.41558859854001</v>
      </c>
      <c r="AC21" s="4">
        <f t="shared" si="12"/>
        <v>123.94923205872105</v>
      </c>
      <c r="AD21">
        <v>218.97524486015499</v>
      </c>
      <c r="AE21" s="4">
        <f t="shared" si="13"/>
        <v>142.25499228165125</v>
      </c>
      <c r="AF21">
        <v>183.26463204637</v>
      </c>
      <c r="AG21" s="4">
        <f t="shared" si="14"/>
        <v>129.52715147182377</v>
      </c>
      <c r="AH21">
        <v>178.085226976695</v>
      </c>
      <c r="AI21" s="4">
        <f t="shared" si="15"/>
        <v>127.34227006894942</v>
      </c>
      <c r="AJ21">
        <v>216.894767903625</v>
      </c>
      <c r="AK21" s="4">
        <f t="shared" si="16"/>
        <v>141.6254233532772</v>
      </c>
      <c r="AL21">
        <v>194.11427253228001</v>
      </c>
      <c r="AM21" s="4">
        <f t="shared" si="17"/>
        <v>133.82571125110198</v>
      </c>
      <c r="AN21">
        <v>192.73871015002001</v>
      </c>
      <c r="AO21" s="4">
        <f t="shared" si="18"/>
        <v>133.30157352555054</v>
      </c>
      <c r="AP21">
        <v>223.73270834336</v>
      </c>
      <c r="AQ21" s="4">
        <f t="shared" si="19"/>
        <v>143.64258869111202</v>
      </c>
      <c r="AR21">
        <v>203.02432288834001</v>
      </c>
      <c r="AS21" s="4">
        <f t="shared" si="20"/>
        <v>137.07412179350973</v>
      </c>
      <c r="AT21">
        <v>236.015470447165</v>
      </c>
      <c r="AU21" s="4">
        <f t="shared" si="21"/>
        <v>146.89018678253044</v>
      </c>
      <c r="AV21">
        <v>206.94661649074499</v>
      </c>
      <c r="AW21" s="4">
        <f t="shared" si="22"/>
        <v>138.423573167597</v>
      </c>
      <c r="AX21">
        <v>210.85364304289499</v>
      </c>
      <c r="AY21" s="4">
        <f t="shared" si="23"/>
        <v>139.71882898775806</v>
      </c>
      <c r="AZ21">
        <v>231.88508283771</v>
      </c>
      <c r="BA21" s="4">
        <f t="shared" si="24"/>
        <v>145.85197620946738</v>
      </c>
      <c r="BB21">
        <v>250.612648829595</v>
      </c>
      <c r="BC21" s="4">
        <f t="shared" si="25"/>
        <v>150.06126488295951</v>
      </c>
      <c r="BD21">
        <v>249.13628170941001</v>
      </c>
      <c r="BE21" s="4">
        <f t="shared" si="26"/>
        <v>149.82606272702517</v>
      </c>
      <c r="BF21">
        <v>275.81978259486999</v>
      </c>
      <c r="BG21" s="4">
        <f t="shared" si="27"/>
        <v>152.58197825948702</v>
      </c>
      <c r="BH21">
        <v>272.06490011639499</v>
      </c>
      <c r="BI21" s="4">
        <f t="shared" si="28"/>
        <v>152.20649001163952</v>
      </c>
      <c r="BJ21">
        <v>246.29228088719501</v>
      </c>
      <c r="BK21" s="4">
        <f t="shared" si="29"/>
        <v>149.23646068780789</v>
      </c>
      <c r="BL21">
        <v>283.78494876850499</v>
      </c>
      <c r="BM21" s="4">
        <f t="shared" si="30"/>
        <v>153.37849487685051</v>
      </c>
      <c r="BN21">
        <v>313.37325821134999</v>
      </c>
      <c r="BO21" s="4">
        <f t="shared" si="31"/>
        <v>156.33732582113501</v>
      </c>
      <c r="BP21">
        <v>293.61923232924499</v>
      </c>
      <c r="BQ21" s="4">
        <f t="shared" si="32"/>
        <v>154.36192323292451</v>
      </c>
      <c r="BR21">
        <v>268.42353533020002</v>
      </c>
      <c r="BS21" s="4">
        <f t="shared" si="33"/>
        <v>151.84235353302</v>
      </c>
      <c r="BT21">
        <v>214.46075425032501</v>
      </c>
      <c r="BU21" s="4">
        <f t="shared" si="34"/>
        <v>140.87129006853573</v>
      </c>
      <c r="BV21">
        <v>221.884319710265</v>
      </c>
      <c r="BW21" s="4">
        <f t="shared" si="35"/>
        <v>143.11207757700564</v>
      </c>
      <c r="BX21">
        <v>205.49387292551501</v>
      </c>
      <c r="BY21" s="4">
        <f t="shared" si="36"/>
        <v>137.92950202963067</v>
      </c>
      <c r="BZ21">
        <v>232.680025636365</v>
      </c>
      <c r="CA21" s="4">
        <f t="shared" si="37"/>
        <v>146.05603470814185</v>
      </c>
      <c r="CB21">
        <v>256.29106280343001</v>
      </c>
      <c r="CC21" s="4">
        <f t="shared" si="38"/>
        <v>150.629106280343</v>
      </c>
      <c r="CD21">
        <v>267.74326912855997</v>
      </c>
      <c r="CE21" s="4">
        <f t="shared" si="39"/>
        <v>151.774326912856</v>
      </c>
      <c r="CF21">
        <f t="shared" si="40"/>
        <v>143.00163305010125</v>
      </c>
    </row>
    <row r="22" spans="1:84" x14ac:dyDescent="0.2">
      <c r="A22" s="2">
        <v>42024</v>
      </c>
      <c r="B22">
        <v>2016</v>
      </c>
      <c r="C22">
        <v>8</v>
      </c>
      <c r="D22">
        <v>350.97777955577601</v>
      </c>
      <c r="E22" s="4">
        <f t="shared" si="0"/>
        <v>160.09777795557761</v>
      </c>
      <c r="F22">
        <v>368.08868513416598</v>
      </c>
      <c r="G22" s="4">
        <f t="shared" si="1"/>
        <v>161.8088685134166</v>
      </c>
      <c r="H22">
        <v>327.002442498486</v>
      </c>
      <c r="I22" s="4">
        <f t="shared" si="2"/>
        <v>157.70024424984859</v>
      </c>
      <c r="J22">
        <v>352.16609903331198</v>
      </c>
      <c r="K22" s="4">
        <f t="shared" si="3"/>
        <v>160.2166099033312</v>
      </c>
      <c r="L22">
        <v>329.94887180712601</v>
      </c>
      <c r="M22" s="4">
        <f t="shared" si="4"/>
        <v>157.9948871807126</v>
      </c>
      <c r="N22">
        <v>331.88106117155598</v>
      </c>
      <c r="O22" s="4">
        <f t="shared" si="5"/>
        <v>158.1881061171556</v>
      </c>
      <c r="P22">
        <v>351.93250188382399</v>
      </c>
      <c r="Q22" s="4">
        <f t="shared" si="6"/>
        <v>160.19325018838239</v>
      </c>
      <c r="R22">
        <v>353.054312070756</v>
      </c>
      <c r="S22" s="4">
        <f t="shared" si="7"/>
        <v>160.3054312070756</v>
      </c>
      <c r="T22">
        <v>345.39296479250601</v>
      </c>
      <c r="U22" s="4">
        <f t="shared" si="8"/>
        <v>159.53929647925059</v>
      </c>
      <c r="V22">
        <v>374.36098358396799</v>
      </c>
      <c r="W22" s="4">
        <f t="shared" si="9"/>
        <v>162.4360983583968</v>
      </c>
      <c r="X22">
        <v>351.33197743355998</v>
      </c>
      <c r="Y22" s="4">
        <f t="shared" si="10"/>
        <v>160.13319774335599</v>
      </c>
      <c r="Z22">
        <v>338.55940222434799</v>
      </c>
      <c r="AA22" s="4">
        <f t="shared" si="11"/>
        <v>158.85594022243481</v>
      </c>
      <c r="AB22">
        <v>353.05500703205797</v>
      </c>
      <c r="AC22" s="4">
        <f t="shared" si="12"/>
        <v>160.30550070320581</v>
      </c>
      <c r="AD22">
        <v>368.25019607630003</v>
      </c>
      <c r="AE22" s="4">
        <f t="shared" si="13"/>
        <v>161.82501960763</v>
      </c>
      <c r="AF22">
        <v>332.22344199255201</v>
      </c>
      <c r="AG22" s="4">
        <f t="shared" si="14"/>
        <v>158.22234419925519</v>
      </c>
      <c r="AH22">
        <v>347.37890354104002</v>
      </c>
      <c r="AI22" s="4">
        <f t="shared" si="15"/>
        <v>159.737890354104</v>
      </c>
      <c r="AJ22">
        <v>381.77109789791399</v>
      </c>
      <c r="AK22" s="4">
        <f t="shared" si="16"/>
        <v>163.17710978979142</v>
      </c>
      <c r="AL22">
        <v>352.749682595938</v>
      </c>
      <c r="AM22" s="4">
        <f t="shared" si="17"/>
        <v>160.27496825959381</v>
      </c>
      <c r="AN22">
        <v>366.381752392208</v>
      </c>
      <c r="AO22" s="4">
        <f t="shared" si="18"/>
        <v>161.6381752392208</v>
      </c>
      <c r="AP22">
        <v>361.93888090672402</v>
      </c>
      <c r="AQ22" s="4">
        <f t="shared" si="19"/>
        <v>161.1938880906724</v>
      </c>
      <c r="AR22">
        <v>363.93722798218602</v>
      </c>
      <c r="AS22" s="4">
        <f t="shared" si="20"/>
        <v>161.39372279821862</v>
      </c>
      <c r="AT22">
        <v>444.25379352196398</v>
      </c>
      <c r="AU22" s="4">
        <f t="shared" si="21"/>
        <v>169.42537935219639</v>
      </c>
      <c r="AV22">
        <v>392.941788899068</v>
      </c>
      <c r="AW22" s="4">
        <f t="shared" si="22"/>
        <v>164.29417888990679</v>
      </c>
      <c r="AX22">
        <v>393.79144728173998</v>
      </c>
      <c r="AY22" s="4">
        <f t="shared" si="23"/>
        <v>164.379144728174</v>
      </c>
      <c r="AZ22">
        <v>452.02852205391798</v>
      </c>
      <c r="BA22" s="4">
        <f t="shared" si="24"/>
        <v>170.20285220539179</v>
      </c>
      <c r="BB22">
        <v>429.74153729512</v>
      </c>
      <c r="BC22" s="4">
        <f t="shared" si="25"/>
        <v>167.97415372951201</v>
      </c>
      <c r="BD22">
        <v>435.71420723479798</v>
      </c>
      <c r="BE22" s="4">
        <f t="shared" si="26"/>
        <v>168.5714207234798</v>
      </c>
      <c r="BF22">
        <v>490.91406368334202</v>
      </c>
      <c r="BG22" s="4">
        <f t="shared" si="27"/>
        <v>174.09140636833422</v>
      </c>
      <c r="BH22">
        <v>493.88240357595402</v>
      </c>
      <c r="BI22" s="4">
        <f t="shared" si="28"/>
        <v>174.38824035759541</v>
      </c>
      <c r="BJ22">
        <v>467.31515616681003</v>
      </c>
      <c r="BK22" s="4">
        <f t="shared" si="29"/>
        <v>171.73151561668101</v>
      </c>
      <c r="BL22">
        <v>503.04440901263399</v>
      </c>
      <c r="BM22" s="4">
        <f t="shared" si="30"/>
        <v>175.3044409012634</v>
      </c>
      <c r="BN22">
        <v>504.80160340098598</v>
      </c>
      <c r="BO22" s="4">
        <f t="shared" si="31"/>
        <v>175.48016034009859</v>
      </c>
      <c r="BP22">
        <v>496.89880886289001</v>
      </c>
      <c r="BQ22" s="4">
        <f t="shared" si="32"/>
        <v>174.68988088628902</v>
      </c>
      <c r="BR22">
        <v>496.92825444004001</v>
      </c>
      <c r="BS22" s="4">
        <f t="shared" si="33"/>
        <v>174.692825444004</v>
      </c>
      <c r="BT22">
        <v>378.11458146507402</v>
      </c>
      <c r="BU22" s="4">
        <f t="shared" si="34"/>
        <v>162.81145814650739</v>
      </c>
      <c r="BV22">
        <v>398.487264484234</v>
      </c>
      <c r="BW22" s="4">
        <f t="shared" si="35"/>
        <v>164.84872644842341</v>
      </c>
      <c r="BX22">
        <v>408.985338013746</v>
      </c>
      <c r="BY22" s="4">
        <f t="shared" si="36"/>
        <v>165.89853380137461</v>
      </c>
      <c r="BZ22">
        <v>451.74203203092998</v>
      </c>
      <c r="CA22" s="4">
        <f t="shared" si="37"/>
        <v>170.17420320309299</v>
      </c>
      <c r="CB22">
        <v>474.42481340578797</v>
      </c>
      <c r="CC22" s="4">
        <f t="shared" si="38"/>
        <v>172.44248134057881</v>
      </c>
      <c r="CD22">
        <v>489.55203473468799</v>
      </c>
      <c r="CE22" s="4">
        <f t="shared" si="39"/>
        <v>173.9552034734688</v>
      </c>
      <c r="CF22">
        <f t="shared" si="40"/>
        <v>164.78793367886809</v>
      </c>
    </row>
    <row r="23" spans="1:84" x14ac:dyDescent="0.2">
      <c r="A23" s="2">
        <v>42025</v>
      </c>
      <c r="B23">
        <v>2016</v>
      </c>
      <c r="C23">
        <v>9</v>
      </c>
      <c r="D23">
        <v>284.81791127581999</v>
      </c>
      <c r="E23" s="4">
        <f t="shared" si="0"/>
        <v>153.481791127582</v>
      </c>
      <c r="F23">
        <v>306.27747336926001</v>
      </c>
      <c r="G23" s="4">
        <f t="shared" si="1"/>
        <v>155.62774733692601</v>
      </c>
      <c r="H23">
        <v>276.15305183155999</v>
      </c>
      <c r="I23" s="4">
        <f t="shared" si="2"/>
        <v>152.61530518315601</v>
      </c>
      <c r="J23">
        <v>261.07427753092003</v>
      </c>
      <c r="K23" s="4">
        <f t="shared" si="3"/>
        <v>151.107427753092</v>
      </c>
      <c r="L23">
        <v>240.99419117186</v>
      </c>
      <c r="M23" s="4">
        <f t="shared" si="4"/>
        <v>148.0690708861336</v>
      </c>
      <c r="N23">
        <v>275.52912756664</v>
      </c>
      <c r="O23" s="4">
        <f t="shared" si="5"/>
        <v>152.552912756664</v>
      </c>
      <c r="P23">
        <v>251.27210724471999</v>
      </c>
      <c r="Q23" s="4">
        <f t="shared" si="6"/>
        <v>150.12721072447201</v>
      </c>
      <c r="R23">
        <v>269.91253309476002</v>
      </c>
      <c r="S23" s="4">
        <f t="shared" si="7"/>
        <v>151.99125330947601</v>
      </c>
      <c r="T23">
        <v>272.99561942714001</v>
      </c>
      <c r="U23" s="4">
        <f t="shared" si="8"/>
        <v>152.29956194271401</v>
      </c>
      <c r="V23">
        <v>276.90525102978</v>
      </c>
      <c r="W23" s="4">
        <f t="shared" si="9"/>
        <v>152.690525102978</v>
      </c>
      <c r="X23">
        <v>271.49776379823999</v>
      </c>
      <c r="Y23" s="4">
        <f t="shared" si="10"/>
        <v>152.149776379824</v>
      </c>
      <c r="Z23">
        <v>261.08472030394</v>
      </c>
      <c r="AA23" s="4">
        <f t="shared" si="11"/>
        <v>151.10847203039401</v>
      </c>
      <c r="AB23">
        <v>260.78664718096002</v>
      </c>
      <c r="AC23" s="4">
        <f t="shared" si="12"/>
        <v>151.07866471809601</v>
      </c>
      <c r="AD23">
        <v>297.29906083972003</v>
      </c>
      <c r="AE23" s="4">
        <f t="shared" si="13"/>
        <v>154.729906083972</v>
      </c>
      <c r="AF23">
        <v>279.42544550560001</v>
      </c>
      <c r="AG23" s="4">
        <f t="shared" si="14"/>
        <v>152.94254455056</v>
      </c>
      <c r="AH23">
        <v>276.73915158405998</v>
      </c>
      <c r="AI23" s="4">
        <f t="shared" si="15"/>
        <v>152.673915158406</v>
      </c>
      <c r="AJ23">
        <v>321.80335046369999</v>
      </c>
      <c r="AK23" s="4">
        <f t="shared" si="16"/>
        <v>157.18033504637</v>
      </c>
      <c r="AL23">
        <v>299.63659742013999</v>
      </c>
      <c r="AM23" s="4">
        <f t="shared" si="17"/>
        <v>154.96365974201399</v>
      </c>
      <c r="AN23">
        <v>294.16143199340002</v>
      </c>
      <c r="AO23" s="4">
        <f t="shared" si="18"/>
        <v>154.41614319934001</v>
      </c>
      <c r="AP23">
        <v>333.88596755831998</v>
      </c>
      <c r="AQ23" s="4">
        <f t="shared" si="19"/>
        <v>158.388596755832</v>
      </c>
      <c r="AR23">
        <v>315.30624781350002</v>
      </c>
      <c r="AS23" s="4">
        <f t="shared" si="20"/>
        <v>156.53062478135001</v>
      </c>
      <c r="AT23">
        <v>304.73838219072002</v>
      </c>
      <c r="AU23" s="4">
        <f t="shared" si="21"/>
        <v>155.47383821907201</v>
      </c>
      <c r="AV23">
        <v>293.36419004814002</v>
      </c>
      <c r="AW23" s="4">
        <f t="shared" si="22"/>
        <v>154.33641900481399</v>
      </c>
      <c r="AX23">
        <v>302.37062617727997</v>
      </c>
      <c r="AY23" s="4">
        <f t="shared" si="23"/>
        <v>155.23706261772799</v>
      </c>
      <c r="AZ23">
        <v>310.92889588757998</v>
      </c>
      <c r="BA23" s="4">
        <f t="shared" si="24"/>
        <v>156.092889588758</v>
      </c>
      <c r="BB23">
        <v>287.13820546255999</v>
      </c>
      <c r="BC23" s="4">
        <f t="shared" si="25"/>
        <v>153.71382054625599</v>
      </c>
      <c r="BD23">
        <v>301.02620220535999</v>
      </c>
      <c r="BE23" s="4">
        <f t="shared" si="26"/>
        <v>155.10262022053601</v>
      </c>
      <c r="BF23">
        <v>304.83994190947999</v>
      </c>
      <c r="BG23" s="4">
        <f t="shared" si="27"/>
        <v>155.48399419094801</v>
      </c>
      <c r="BH23">
        <v>312.16237782496</v>
      </c>
      <c r="BI23" s="4">
        <f t="shared" si="28"/>
        <v>156.21623778249599</v>
      </c>
      <c r="BJ23">
        <v>305.08385625284001</v>
      </c>
      <c r="BK23" s="4">
        <f t="shared" si="29"/>
        <v>155.50838562528401</v>
      </c>
      <c r="BL23">
        <v>309.57338862569998</v>
      </c>
      <c r="BM23" s="4">
        <f t="shared" si="30"/>
        <v>155.95733886257</v>
      </c>
      <c r="BN23">
        <v>319.80010644612003</v>
      </c>
      <c r="BO23" s="4">
        <f t="shared" si="31"/>
        <v>156.98001064461201</v>
      </c>
      <c r="BP23">
        <v>324.03911308995998</v>
      </c>
      <c r="BQ23" s="4">
        <f t="shared" si="32"/>
        <v>157.40391130899599</v>
      </c>
      <c r="BR23">
        <v>303.96451529031998</v>
      </c>
      <c r="BS23" s="4">
        <f t="shared" si="33"/>
        <v>155.39645152903199</v>
      </c>
      <c r="BT23">
        <v>278.69972395102002</v>
      </c>
      <c r="BU23" s="4">
        <f t="shared" si="34"/>
        <v>152.869972395102</v>
      </c>
      <c r="BV23">
        <v>304.2376029266</v>
      </c>
      <c r="BW23" s="4">
        <f t="shared" si="35"/>
        <v>155.42376029266001</v>
      </c>
      <c r="BX23">
        <v>285.75106683408001</v>
      </c>
      <c r="BY23" s="4">
        <f t="shared" si="36"/>
        <v>153.57510668340799</v>
      </c>
      <c r="BZ23">
        <v>301.36832127024002</v>
      </c>
      <c r="CA23" s="4">
        <f t="shared" si="37"/>
        <v>155.13683212702401</v>
      </c>
      <c r="CB23">
        <v>327.05599272005998</v>
      </c>
      <c r="CC23" s="4">
        <f t="shared" si="38"/>
        <v>157.705599272006</v>
      </c>
      <c r="CD23">
        <v>326.41662706104</v>
      </c>
      <c r="CE23" s="4">
        <f t="shared" si="39"/>
        <v>157.641662706104</v>
      </c>
      <c r="CF23">
        <f t="shared" si="40"/>
        <v>154.14523386239776</v>
      </c>
    </row>
    <row r="24" spans="1:84" x14ac:dyDescent="0.2">
      <c r="A24" s="2">
        <v>42026</v>
      </c>
      <c r="B24">
        <v>2016</v>
      </c>
      <c r="C24">
        <v>10</v>
      </c>
      <c r="D24">
        <v>246.63591254516999</v>
      </c>
      <c r="E24" s="4">
        <f t="shared" si="0"/>
        <v>149.30907517398802</v>
      </c>
      <c r="F24">
        <v>221.51111289409801</v>
      </c>
      <c r="G24" s="4">
        <f t="shared" si="1"/>
        <v>143.00363587716708</v>
      </c>
      <c r="H24">
        <v>243.61887992955599</v>
      </c>
      <c r="I24" s="4">
        <f t="shared" si="2"/>
        <v>148.65862607654572</v>
      </c>
      <c r="J24">
        <v>232.69505742539999</v>
      </c>
      <c r="K24" s="4">
        <f t="shared" si="3"/>
        <v>146.05987382506365</v>
      </c>
      <c r="L24">
        <v>249.913277011302</v>
      </c>
      <c r="M24" s="4">
        <f t="shared" si="4"/>
        <v>149.98264336885757</v>
      </c>
      <c r="N24">
        <v>240.13843445225399</v>
      </c>
      <c r="O24" s="4">
        <f t="shared" si="5"/>
        <v>147.87208613036677</v>
      </c>
      <c r="P24">
        <v>212.25332438307001</v>
      </c>
      <c r="Q24" s="4">
        <f t="shared" si="6"/>
        <v>140.17096644440639</v>
      </c>
      <c r="R24">
        <v>223.73801595504</v>
      </c>
      <c r="S24" s="4">
        <f t="shared" si="7"/>
        <v>143.64409630144362</v>
      </c>
      <c r="T24">
        <v>217.54081475725201</v>
      </c>
      <c r="U24" s="4">
        <f t="shared" si="8"/>
        <v>141.82240502085355</v>
      </c>
      <c r="V24">
        <v>211.184124102</v>
      </c>
      <c r="W24" s="4">
        <f t="shared" si="9"/>
        <v>139.82614926563369</v>
      </c>
      <c r="X24">
        <v>221.833024118346</v>
      </c>
      <c r="Y24" s="4">
        <f t="shared" si="10"/>
        <v>143.09719917516091</v>
      </c>
      <c r="Z24">
        <v>204.82818769937401</v>
      </c>
      <c r="AA24" s="4">
        <f t="shared" si="11"/>
        <v>137.70084933743803</v>
      </c>
      <c r="AB24">
        <v>190.56018652956001</v>
      </c>
      <c r="AC24" s="4">
        <f t="shared" si="12"/>
        <v>132.45909102527091</v>
      </c>
      <c r="AD24">
        <v>228.73505529078599</v>
      </c>
      <c r="AE24" s="4">
        <f t="shared" si="13"/>
        <v>145.02349446057971</v>
      </c>
      <c r="AF24">
        <v>199.85000360058001</v>
      </c>
      <c r="AG24" s="4">
        <f t="shared" si="14"/>
        <v>135.94596529793705</v>
      </c>
      <c r="AH24">
        <v>192.730517039982</v>
      </c>
      <c r="AI24" s="4">
        <f t="shared" si="15"/>
        <v>133.2984335223839</v>
      </c>
      <c r="AJ24">
        <v>207.08326789045799</v>
      </c>
      <c r="AK24" s="4">
        <f t="shared" si="16"/>
        <v>138.46970014615209</v>
      </c>
      <c r="AL24">
        <v>203.475907220256</v>
      </c>
      <c r="AM24" s="4">
        <f t="shared" si="17"/>
        <v>137.23199550968604</v>
      </c>
      <c r="AN24">
        <v>196.71878070421201</v>
      </c>
      <c r="AO24" s="4">
        <f t="shared" si="18"/>
        <v>134.80153481340903</v>
      </c>
      <c r="AP24">
        <v>222.91758063363</v>
      </c>
      <c r="AQ24" s="4">
        <f t="shared" si="19"/>
        <v>143.40998422474848</v>
      </c>
      <c r="AR24">
        <v>225.73300417675199</v>
      </c>
      <c r="AS24" s="4">
        <f t="shared" si="20"/>
        <v>144.20438149729353</v>
      </c>
      <c r="AT24">
        <v>221.901268928382</v>
      </c>
      <c r="AU24" s="4">
        <f t="shared" si="21"/>
        <v>143.11699188514021</v>
      </c>
      <c r="AV24">
        <v>210.57232115677201</v>
      </c>
      <c r="AW24" s="4">
        <f t="shared" si="22"/>
        <v>139.62719725701081</v>
      </c>
      <c r="AX24">
        <v>202.616524484454</v>
      </c>
      <c r="AY24" s="4">
        <f t="shared" si="23"/>
        <v>136.93099489379904</v>
      </c>
      <c r="AZ24">
        <v>210.256911694206</v>
      </c>
      <c r="BA24" s="4">
        <f t="shared" si="24"/>
        <v>139.52416142990978</v>
      </c>
      <c r="BB24">
        <v>223.168299922866</v>
      </c>
      <c r="BC24" s="4">
        <f t="shared" si="25"/>
        <v>143.48175577812637</v>
      </c>
      <c r="BD24">
        <v>233.719146323556</v>
      </c>
      <c r="BE24" s="4">
        <f t="shared" si="26"/>
        <v>146.31972335041715</v>
      </c>
      <c r="BF24">
        <v>233.68311050965201</v>
      </c>
      <c r="BG24" s="4">
        <f t="shared" si="27"/>
        <v>146.31063668970603</v>
      </c>
      <c r="BH24">
        <v>235.61125834612201</v>
      </c>
      <c r="BI24" s="4">
        <f t="shared" si="28"/>
        <v>146.79099425101316</v>
      </c>
      <c r="BJ24">
        <v>228.55254586882199</v>
      </c>
      <c r="BK24" s="4">
        <f t="shared" si="29"/>
        <v>144.97451991183001</v>
      </c>
      <c r="BL24">
        <v>236.124411865566</v>
      </c>
      <c r="BM24" s="4">
        <f t="shared" si="30"/>
        <v>146.9168312593909</v>
      </c>
      <c r="BN24">
        <v>252.820816216926</v>
      </c>
      <c r="BO24" s="4">
        <f t="shared" si="31"/>
        <v>150.28208162169261</v>
      </c>
      <c r="BP24">
        <v>251.21143266228</v>
      </c>
      <c r="BQ24" s="4">
        <f t="shared" si="32"/>
        <v>150.12114326622799</v>
      </c>
      <c r="BR24">
        <v>232.88936131298999</v>
      </c>
      <c r="BS24" s="4">
        <f t="shared" si="33"/>
        <v>146.10943393255414</v>
      </c>
      <c r="BT24">
        <v>218.99132797148999</v>
      </c>
      <c r="BU24" s="4">
        <f t="shared" si="34"/>
        <v>142.2598052087433</v>
      </c>
      <c r="BV24">
        <v>226.072432535118</v>
      </c>
      <c r="BW24" s="4">
        <f t="shared" si="35"/>
        <v>144.29844093136523</v>
      </c>
      <c r="BX24">
        <v>204.52346964525</v>
      </c>
      <c r="BY24" s="4">
        <f t="shared" si="36"/>
        <v>137.59571022807958</v>
      </c>
      <c r="BZ24">
        <v>222.98931604734</v>
      </c>
      <c r="CA24" s="4">
        <f t="shared" si="37"/>
        <v>143.43053993332322</v>
      </c>
      <c r="CB24">
        <v>233.99933433090001</v>
      </c>
      <c r="CC24" s="4">
        <f t="shared" si="38"/>
        <v>146.39023278321312</v>
      </c>
      <c r="CD24">
        <v>239.110881418866</v>
      </c>
      <c r="CE24" s="4">
        <f t="shared" si="39"/>
        <v>147.63245963821478</v>
      </c>
      <c r="CF24">
        <f t="shared" si="40"/>
        <v>142.90287865452362</v>
      </c>
    </row>
    <row r="25" spans="1:84" x14ac:dyDescent="0.2">
      <c r="A25" s="2">
        <v>42027</v>
      </c>
      <c r="B25">
        <v>2016</v>
      </c>
      <c r="C25">
        <v>11</v>
      </c>
      <c r="D25">
        <v>214.63148246777399</v>
      </c>
      <c r="E25" s="4">
        <f t="shared" si="0"/>
        <v>140.92480524167098</v>
      </c>
      <c r="F25">
        <v>200.40348712319999</v>
      </c>
      <c r="G25" s="4">
        <f t="shared" si="1"/>
        <v>136.14499488137827</v>
      </c>
      <c r="H25">
        <v>238.845952008078</v>
      </c>
      <c r="I25" s="4">
        <f t="shared" si="2"/>
        <v>147.57012994304586</v>
      </c>
      <c r="J25">
        <v>181.25844359780501</v>
      </c>
      <c r="K25" s="4">
        <f t="shared" si="3"/>
        <v>128.69104619700715</v>
      </c>
      <c r="L25">
        <v>285.01871035476398</v>
      </c>
      <c r="M25" s="4">
        <f t="shared" si="4"/>
        <v>153.5018710354764</v>
      </c>
      <c r="N25">
        <v>170.764665833371</v>
      </c>
      <c r="O25" s="4">
        <f t="shared" si="5"/>
        <v>124.10775207787842</v>
      </c>
      <c r="P25">
        <v>146.71776920987199</v>
      </c>
      <c r="Q25" s="4">
        <f t="shared" si="6"/>
        <v>112.27600312679796</v>
      </c>
      <c r="R25">
        <v>157.70909432952001</v>
      </c>
      <c r="S25" s="4">
        <f t="shared" si="7"/>
        <v>117.91364083474011</v>
      </c>
      <c r="T25">
        <v>160.91779548287599</v>
      </c>
      <c r="U25" s="4">
        <f t="shared" si="8"/>
        <v>119.48653643796605</v>
      </c>
      <c r="V25">
        <v>151.19612665476001</v>
      </c>
      <c r="W25" s="4">
        <f t="shared" si="9"/>
        <v>114.61969671011644</v>
      </c>
      <c r="X25">
        <v>153.32884369829699</v>
      </c>
      <c r="Y25" s="4">
        <f t="shared" si="10"/>
        <v>115.71326880252613</v>
      </c>
      <c r="Z25">
        <v>164.21970357569401</v>
      </c>
      <c r="AA25" s="4">
        <f t="shared" si="11"/>
        <v>121.0707259077119</v>
      </c>
      <c r="AB25">
        <v>166.32525786973</v>
      </c>
      <c r="AC25" s="4">
        <f t="shared" si="12"/>
        <v>122.0627116210385</v>
      </c>
      <c r="AD25">
        <v>159.814589418753</v>
      </c>
      <c r="AE25" s="4">
        <f t="shared" si="13"/>
        <v>118.94946463301763</v>
      </c>
      <c r="AF25">
        <v>141.13182501349499</v>
      </c>
      <c r="AG25" s="4">
        <f t="shared" si="14"/>
        <v>109.26271776287136</v>
      </c>
      <c r="AH25">
        <v>110.857225715328</v>
      </c>
      <c r="AI25" s="4">
        <f t="shared" si="15"/>
        <v>91.194306526049317</v>
      </c>
      <c r="AJ25">
        <v>175.84910322329799</v>
      </c>
      <c r="AK25" s="4">
        <f t="shared" si="16"/>
        <v>126.37245185619699</v>
      </c>
      <c r="AL25">
        <v>150.47478310644999</v>
      </c>
      <c r="AM25" s="4">
        <f t="shared" si="17"/>
        <v>114.24652654495692</v>
      </c>
      <c r="AN25">
        <v>107.14237364252899</v>
      </c>
      <c r="AO25" s="4">
        <f t="shared" si="18"/>
        <v>88.775192474920516</v>
      </c>
      <c r="AP25">
        <v>170.34384090198299</v>
      </c>
      <c r="AQ25" s="4">
        <f t="shared" si="19"/>
        <v>123.91660228879884</v>
      </c>
      <c r="AR25">
        <v>145.78116438543299</v>
      </c>
      <c r="AS25" s="4">
        <f t="shared" si="20"/>
        <v>111.77772776211677</v>
      </c>
      <c r="AT25">
        <v>103.696830767675</v>
      </c>
      <c r="AU25" s="4">
        <f t="shared" si="21"/>
        <v>86.49197842965927</v>
      </c>
      <c r="AV25">
        <v>104.35913056991301</v>
      </c>
      <c r="AW25" s="4">
        <f t="shared" si="22"/>
        <v>86.933805556619959</v>
      </c>
      <c r="AX25">
        <v>141.313466172478</v>
      </c>
      <c r="AY25" s="4">
        <f t="shared" si="23"/>
        <v>109.36227301778986</v>
      </c>
      <c r="AZ25">
        <v>128.016996800946</v>
      </c>
      <c r="BA25" s="4">
        <f t="shared" si="24"/>
        <v>101.79563444905254</v>
      </c>
      <c r="BB25">
        <v>96.246855427802998</v>
      </c>
      <c r="BC25" s="4">
        <f t="shared" si="25"/>
        <v>81.425323940218334</v>
      </c>
      <c r="BD25">
        <v>110.918632640469</v>
      </c>
      <c r="BE25" s="4">
        <f t="shared" si="26"/>
        <v>91.233923733538887</v>
      </c>
      <c r="BF25">
        <v>90.748523491812009</v>
      </c>
      <c r="BG25" s="4">
        <f t="shared" si="27"/>
        <v>77.572052266301668</v>
      </c>
      <c r="BH25">
        <v>100.59442421150401</v>
      </c>
      <c r="BI25" s="4">
        <f t="shared" si="28"/>
        <v>84.403643119593568</v>
      </c>
      <c r="BJ25">
        <v>129.63346511629001</v>
      </c>
      <c r="BK25" s="4">
        <f t="shared" si="29"/>
        <v>102.7457286713998</v>
      </c>
      <c r="BL25">
        <v>109.805225985067</v>
      </c>
      <c r="BM25" s="4">
        <f t="shared" si="30"/>
        <v>90.513725739256373</v>
      </c>
      <c r="BN25">
        <v>111.765511744745</v>
      </c>
      <c r="BO25" s="4">
        <f t="shared" si="31"/>
        <v>91.779064359841428</v>
      </c>
      <c r="BP25">
        <v>103.73098578720899</v>
      </c>
      <c r="BQ25" s="4">
        <f t="shared" si="32"/>
        <v>86.514797927391143</v>
      </c>
      <c r="BR25">
        <v>100.39746144199501</v>
      </c>
      <c r="BS25" s="4">
        <f t="shared" si="33"/>
        <v>84.270021019600009</v>
      </c>
      <c r="BT25">
        <v>131.872638735782</v>
      </c>
      <c r="BU25" s="4">
        <f t="shared" si="34"/>
        <v>104.04801018036109</v>
      </c>
      <c r="BV25">
        <v>155.74784300884301</v>
      </c>
      <c r="BW25" s="4">
        <f t="shared" si="35"/>
        <v>116.93601804579147</v>
      </c>
      <c r="BX25">
        <v>153.31966785854999</v>
      </c>
      <c r="BY25" s="4">
        <f t="shared" si="36"/>
        <v>115.70859497494025</v>
      </c>
      <c r="BZ25">
        <v>129.87883418309301</v>
      </c>
      <c r="CA25" s="4">
        <f t="shared" si="37"/>
        <v>102.88921567307801</v>
      </c>
      <c r="CB25">
        <v>123.694635848096</v>
      </c>
      <c r="CC25" s="4">
        <f t="shared" si="38"/>
        <v>99.214055147947079</v>
      </c>
      <c r="CD25">
        <v>147.01319259486399</v>
      </c>
      <c r="CE25" s="4">
        <f t="shared" si="39"/>
        <v>112.43258651976868</v>
      </c>
      <c r="CF25">
        <f t="shared" si="40"/>
        <v>109.40567308095167</v>
      </c>
    </row>
    <row r="26" spans="1:84" x14ac:dyDescent="0.2">
      <c r="A26" s="2">
        <v>42028</v>
      </c>
      <c r="B26">
        <v>2016</v>
      </c>
      <c r="C26">
        <v>12</v>
      </c>
      <c r="D26">
        <v>14.776260423302</v>
      </c>
      <c r="E26" s="4">
        <f t="shared" si="0"/>
        <v>14.426919827946415</v>
      </c>
      <c r="F26">
        <v>16.331967277499999</v>
      </c>
      <c r="G26" s="4">
        <f t="shared" si="1"/>
        <v>15.90519422925467</v>
      </c>
      <c r="H26">
        <v>19.877006666930001</v>
      </c>
      <c r="I26" s="4">
        <f t="shared" si="2"/>
        <v>19.24485403647051</v>
      </c>
      <c r="J26">
        <v>15.78435410328</v>
      </c>
      <c r="K26" s="4">
        <f t="shared" si="3"/>
        <v>15.385720768147628</v>
      </c>
      <c r="L26">
        <v>23.1548355738</v>
      </c>
      <c r="M26" s="4">
        <f t="shared" si="4"/>
        <v>22.297001317080461</v>
      </c>
      <c r="N26">
        <v>12.773312258524999</v>
      </c>
      <c r="O26" s="4">
        <f t="shared" si="5"/>
        <v>12.512260248838944</v>
      </c>
      <c r="P26">
        <v>6.2634921114289996</v>
      </c>
      <c r="Q26" s="4">
        <f t="shared" si="6"/>
        <v>6.2007219779411065</v>
      </c>
      <c r="R26">
        <v>11.392405435383001</v>
      </c>
      <c r="S26" s="4">
        <f t="shared" si="7"/>
        <v>11.18474639281637</v>
      </c>
      <c r="T26">
        <v>10.431384787704999</v>
      </c>
      <c r="U26" s="4">
        <f t="shared" si="8"/>
        <v>10.257282725962337</v>
      </c>
      <c r="V26">
        <v>7.0155771821379993</v>
      </c>
      <c r="W26" s="4">
        <f t="shared" si="9"/>
        <v>6.9368278650203425</v>
      </c>
      <c r="X26">
        <v>14.027913906929999</v>
      </c>
      <c r="Y26" s="4">
        <f t="shared" si="10"/>
        <v>13.713062117201616</v>
      </c>
      <c r="Z26">
        <v>12.338552161320001</v>
      </c>
      <c r="AA26" s="4">
        <f t="shared" si="11"/>
        <v>12.094968370219819</v>
      </c>
      <c r="AB26">
        <v>6.771584261336999</v>
      </c>
      <c r="AC26" s="4">
        <f t="shared" si="12"/>
        <v>6.6982172958835795</v>
      </c>
      <c r="AD26">
        <v>14.95670139684</v>
      </c>
      <c r="AE26" s="4">
        <f t="shared" si="13"/>
        <v>14.598776730161221</v>
      </c>
      <c r="AF26">
        <v>11.504180893379999</v>
      </c>
      <c r="AG26" s="4">
        <f t="shared" si="14"/>
        <v>11.292427008535824</v>
      </c>
      <c r="AH26">
        <v>7.4387337196479999</v>
      </c>
      <c r="AI26" s="4">
        <f t="shared" si="15"/>
        <v>7.3501981046850746</v>
      </c>
      <c r="AJ26">
        <v>11.483992307759999</v>
      </c>
      <c r="AK26" s="4">
        <f t="shared" si="16"/>
        <v>11.272980980840494</v>
      </c>
      <c r="AL26">
        <v>9.0427590168300007</v>
      </c>
      <c r="AM26" s="4">
        <f t="shared" si="17"/>
        <v>8.9119246318116634</v>
      </c>
      <c r="AN26">
        <v>7.1253822756199998</v>
      </c>
      <c r="AO26" s="4">
        <f t="shared" si="18"/>
        <v>7.044148559502049</v>
      </c>
      <c r="AP26">
        <v>12.520915890329</v>
      </c>
      <c r="AQ26" s="4">
        <f t="shared" si="19"/>
        <v>12.27007855475669</v>
      </c>
      <c r="AR26">
        <v>7.2479453770709998</v>
      </c>
      <c r="AS26" s="4">
        <f t="shared" si="20"/>
        <v>7.1638930375685925</v>
      </c>
      <c r="AT26">
        <v>1.2319070372630001</v>
      </c>
      <c r="AU26" s="4">
        <f t="shared" si="21"/>
        <v>1.229478885345467</v>
      </c>
      <c r="AV26">
        <v>3.4480898747539999</v>
      </c>
      <c r="AW26" s="4">
        <f t="shared" si="22"/>
        <v>3.42906695669899</v>
      </c>
      <c r="AX26">
        <v>3.0651987252390001</v>
      </c>
      <c r="AY26" s="4">
        <f t="shared" si="23"/>
        <v>3.050166016078669</v>
      </c>
      <c r="AZ26">
        <v>2.7806176302519998</v>
      </c>
      <c r="BA26" s="4">
        <f t="shared" si="24"/>
        <v>2.7682466952029308</v>
      </c>
      <c r="BB26">
        <v>4.8071789738349988</v>
      </c>
      <c r="BC26" s="4">
        <f t="shared" si="25"/>
        <v>4.770204622336629</v>
      </c>
      <c r="BD26">
        <v>5.2365328505840001</v>
      </c>
      <c r="BE26" s="4">
        <f t="shared" si="26"/>
        <v>5.1926588085116077</v>
      </c>
      <c r="BF26">
        <v>5.0564307936869994</v>
      </c>
      <c r="BG26" s="4">
        <f t="shared" si="27"/>
        <v>5.0155228058928447</v>
      </c>
      <c r="BH26">
        <v>3.8459996709539999</v>
      </c>
      <c r="BI26" s="4">
        <f t="shared" si="28"/>
        <v>3.8223329294036348</v>
      </c>
      <c r="BJ26">
        <v>2.5526480587370002</v>
      </c>
      <c r="BK26" s="4">
        <f t="shared" si="29"/>
        <v>2.5422224393581625</v>
      </c>
      <c r="BL26">
        <v>2.0751894282559999</v>
      </c>
      <c r="BM26" s="4">
        <f t="shared" si="30"/>
        <v>2.0682991703949671</v>
      </c>
      <c r="BN26">
        <v>3.4670711276669999</v>
      </c>
      <c r="BO26" s="4">
        <f t="shared" si="31"/>
        <v>3.4478381961401166</v>
      </c>
      <c r="BP26">
        <v>3.4960012664570002</v>
      </c>
      <c r="BQ26" s="4">
        <f t="shared" si="32"/>
        <v>3.4764460266888899</v>
      </c>
      <c r="BR26">
        <v>0.21010254451900001</v>
      </c>
      <c r="BS26" s="4">
        <f t="shared" si="33"/>
        <v>0.21003191559225862</v>
      </c>
      <c r="BT26">
        <v>6.3104916621809988</v>
      </c>
      <c r="BU26" s="4">
        <f t="shared" si="34"/>
        <v>6.2467759741514692</v>
      </c>
      <c r="BV26">
        <v>3.2143836359670002</v>
      </c>
      <c r="BW26" s="4">
        <f t="shared" si="35"/>
        <v>3.1978520165123245</v>
      </c>
      <c r="BX26">
        <v>2.2332864009470001</v>
      </c>
      <c r="BY26" s="4">
        <f t="shared" si="36"/>
        <v>2.2253062919091526</v>
      </c>
      <c r="BZ26">
        <v>0.550174955764</v>
      </c>
      <c r="CA26" s="4">
        <f t="shared" si="37"/>
        <v>0.54969064779288013</v>
      </c>
      <c r="CB26">
        <v>0.34639464550600002</v>
      </c>
      <c r="CC26" s="4">
        <f t="shared" si="38"/>
        <v>0.34620266270530364</v>
      </c>
      <c r="CD26">
        <v>0.41195023087400001</v>
      </c>
      <c r="CE26" s="4">
        <f t="shared" si="39"/>
        <v>0.4116787060856526</v>
      </c>
      <c r="CF26">
        <f t="shared" si="40"/>
        <v>7.5749451171001176</v>
      </c>
    </row>
    <row r="27" spans="1:84" x14ac:dyDescent="0.2">
      <c r="A27" s="2">
        <v>42029</v>
      </c>
      <c r="B27">
        <v>2017</v>
      </c>
      <c r="C27">
        <v>1</v>
      </c>
      <c r="D27">
        <v>235.56784602479999</v>
      </c>
      <c r="E27" s="4">
        <f t="shared" si="0"/>
        <v>146.78030989557777</v>
      </c>
      <c r="F27">
        <v>223.68208654291499</v>
      </c>
      <c r="G27" s="4">
        <f t="shared" si="1"/>
        <v>143.62820519860762</v>
      </c>
      <c r="H27">
        <v>326.20264253490001</v>
      </c>
      <c r="I27" s="4">
        <f t="shared" si="2"/>
        <v>157.62026425349001</v>
      </c>
      <c r="J27">
        <v>242.0690675754</v>
      </c>
      <c r="K27" s="4">
        <f t="shared" si="3"/>
        <v>148.31317401248228</v>
      </c>
      <c r="L27">
        <v>364.97785998120003</v>
      </c>
      <c r="M27" s="4">
        <f t="shared" si="4"/>
        <v>161.49778599812001</v>
      </c>
      <c r="N27">
        <v>234.80456731942499</v>
      </c>
      <c r="O27" s="4">
        <f t="shared" si="5"/>
        <v>146.59147158492519</v>
      </c>
      <c r="P27">
        <v>78.410863507409999</v>
      </c>
      <c r="Q27" s="4">
        <f t="shared" si="6"/>
        <v>68.573641881845703</v>
      </c>
      <c r="R27">
        <v>183.96403817964</v>
      </c>
      <c r="S27" s="4">
        <f t="shared" si="7"/>
        <v>129.81561043026392</v>
      </c>
      <c r="T27">
        <v>124.87844026067999</v>
      </c>
      <c r="U27" s="4">
        <f t="shared" si="8"/>
        <v>99.927040513575633</v>
      </c>
      <c r="V27">
        <v>73.159119938294992</v>
      </c>
      <c r="W27" s="4">
        <f t="shared" si="9"/>
        <v>64.595509010061662</v>
      </c>
      <c r="X27">
        <v>179.707967652615</v>
      </c>
      <c r="Y27" s="4">
        <f t="shared" si="10"/>
        <v>128.03604183208171</v>
      </c>
      <c r="Z27">
        <v>84.344346679199987</v>
      </c>
      <c r="AA27" s="4">
        <f t="shared" si="11"/>
        <v>72.961996572414265</v>
      </c>
      <c r="AB27">
        <v>23.922485163299999</v>
      </c>
      <c r="AC27" s="4">
        <f t="shared" si="12"/>
        <v>23.006828689078706</v>
      </c>
      <c r="AD27">
        <v>169.41928290460501</v>
      </c>
      <c r="AE27" s="4">
        <f t="shared" si="13"/>
        <v>123.49465343274807</v>
      </c>
      <c r="AF27">
        <v>77.455759588574992</v>
      </c>
      <c r="AG27" s="4">
        <f t="shared" si="14"/>
        <v>67.856728079065988</v>
      </c>
      <c r="AH27">
        <v>14.586919701059999</v>
      </c>
      <c r="AI27" s="4">
        <f t="shared" si="15"/>
        <v>14.246474538875724</v>
      </c>
      <c r="AJ27">
        <v>169.72363650822001</v>
      </c>
      <c r="AK27" s="4">
        <f t="shared" si="16"/>
        <v>123.63385604490098</v>
      </c>
      <c r="AL27">
        <v>131.02565687136001</v>
      </c>
      <c r="AM27" s="4">
        <f t="shared" si="17"/>
        <v>103.55730045764582</v>
      </c>
      <c r="AN27">
        <v>56.327286132599987</v>
      </c>
      <c r="AO27" s="4">
        <f t="shared" si="18"/>
        <v>51.250865071697923</v>
      </c>
      <c r="AP27">
        <v>200.9968267335</v>
      </c>
      <c r="AQ27" s="4">
        <f t="shared" si="19"/>
        <v>136.35726776240139</v>
      </c>
      <c r="AR27">
        <v>153.43689912105</v>
      </c>
      <c r="AS27" s="4">
        <f t="shared" si="20"/>
        <v>115.76828790203677</v>
      </c>
      <c r="AT27">
        <v>27.796265589450002</v>
      </c>
      <c r="AU27" s="4">
        <f t="shared" si="21"/>
        <v>26.560053780299214</v>
      </c>
      <c r="AV27">
        <v>24.481760766015</v>
      </c>
      <c r="AW27" s="4">
        <f t="shared" si="22"/>
        <v>23.522790189687974</v>
      </c>
      <c r="AX27">
        <v>42.372595786754992</v>
      </c>
      <c r="AY27" s="4">
        <f t="shared" si="23"/>
        <v>39.499896788822632</v>
      </c>
      <c r="AZ27">
        <v>37.024198943084997</v>
      </c>
      <c r="BA27" s="4">
        <f t="shared" si="24"/>
        <v>34.830932851281574</v>
      </c>
      <c r="BB27">
        <v>48.037968224445002</v>
      </c>
      <c r="BC27" s="4">
        <f t="shared" si="25"/>
        <v>44.345733998632547</v>
      </c>
      <c r="BD27">
        <v>39.613421310509999</v>
      </c>
      <c r="BE27" s="4">
        <f t="shared" si="26"/>
        <v>37.10266427383165</v>
      </c>
      <c r="BF27">
        <v>33.616192469999987</v>
      </c>
      <c r="BG27" s="4">
        <f t="shared" si="27"/>
        <v>31.808115036111854</v>
      </c>
      <c r="BH27">
        <v>29.809774183950001</v>
      </c>
      <c r="BI27" s="4">
        <f t="shared" si="28"/>
        <v>28.387977964913055</v>
      </c>
      <c r="BJ27">
        <v>38.090328576645</v>
      </c>
      <c r="BK27" s="4">
        <f t="shared" si="29"/>
        <v>35.768931566922156</v>
      </c>
      <c r="BL27">
        <v>33.014866524600002</v>
      </c>
      <c r="BM27" s="4">
        <f t="shared" si="30"/>
        <v>31.270896265980554</v>
      </c>
      <c r="BN27">
        <v>40.178478301709987</v>
      </c>
      <c r="BO27" s="4">
        <f t="shared" si="31"/>
        <v>37.595582111884418</v>
      </c>
      <c r="BP27">
        <v>44.351484626850002</v>
      </c>
      <c r="BQ27" s="4">
        <f t="shared" si="32"/>
        <v>41.204197925080862</v>
      </c>
      <c r="BR27">
        <v>19.288188666105</v>
      </c>
      <c r="BS27" s="4">
        <f t="shared" si="33"/>
        <v>18.692933910874185</v>
      </c>
      <c r="BT27">
        <v>65.85038969835</v>
      </c>
      <c r="BU27" s="4">
        <f t="shared" si="34"/>
        <v>58.912351580870705</v>
      </c>
      <c r="BV27">
        <v>64.576636445399998</v>
      </c>
      <c r="BW27" s="4">
        <f t="shared" si="35"/>
        <v>57.904409286037819</v>
      </c>
      <c r="BX27">
        <v>25.082809765859999</v>
      </c>
      <c r="BY27" s="4">
        <f t="shared" si="36"/>
        <v>24.076174012659486</v>
      </c>
      <c r="BZ27">
        <v>21.1978877172</v>
      </c>
      <c r="CA27" s="4">
        <f t="shared" si="37"/>
        <v>20.478927007326369</v>
      </c>
      <c r="CB27">
        <v>23.393624057444999</v>
      </c>
      <c r="CC27" s="4">
        <f t="shared" si="38"/>
        <v>22.518005422979289</v>
      </c>
      <c r="CD27">
        <v>31.845048714840001</v>
      </c>
      <c r="CE27" s="4">
        <f t="shared" si="39"/>
        <v>30.22247731059915</v>
      </c>
      <c r="CF27">
        <f t="shared" si="40"/>
        <v>73.109657541876246</v>
      </c>
    </row>
    <row r="28" spans="1:84" x14ac:dyDescent="0.2">
      <c r="A28" s="2">
        <v>42030</v>
      </c>
      <c r="B28">
        <v>2017</v>
      </c>
      <c r="C28">
        <v>2</v>
      </c>
      <c r="D28">
        <v>9.6809743648800008</v>
      </c>
      <c r="E28" s="4">
        <f t="shared" si="0"/>
        <v>9.5310203414344574</v>
      </c>
      <c r="F28">
        <v>11.43610633872</v>
      </c>
      <c r="G28" s="4">
        <f t="shared" si="1"/>
        <v>11.226851093615181</v>
      </c>
      <c r="H28">
        <v>15.389116011360001</v>
      </c>
      <c r="I28" s="4">
        <f t="shared" si="2"/>
        <v>15.010196184782245</v>
      </c>
      <c r="J28">
        <v>8.859559209983999</v>
      </c>
      <c r="K28" s="4">
        <f t="shared" si="3"/>
        <v>8.7339723469516599</v>
      </c>
      <c r="L28">
        <v>13.560889269312</v>
      </c>
      <c r="M28" s="4">
        <f t="shared" si="4"/>
        <v>13.266652920872733</v>
      </c>
      <c r="N28">
        <v>8.7653792038679992</v>
      </c>
      <c r="O28" s="4">
        <f t="shared" si="5"/>
        <v>8.6424482077278366</v>
      </c>
      <c r="P28">
        <v>2.9916050270399999</v>
      </c>
      <c r="Q28" s="4">
        <f t="shared" si="6"/>
        <v>2.9772855060195025</v>
      </c>
      <c r="R28">
        <v>6.4779644737079991</v>
      </c>
      <c r="S28" s="4">
        <f t="shared" si="7"/>
        <v>6.410822035751802</v>
      </c>
      <c r="T28">
        <v>5.8871634350760003</v>
      </c>
      <c r="U28" s="4">
        <f t="shared" si="8"/>
        <v>5.831709525777927</v>
      </c>
      <c r="V28">
        <v>3.3400897578720001</v>
      </c>
      <c r="W28" s="4">
        <f t="shared" si="9"/>
        <v>3.3222398385269738</v>
      </c>
      <c r="X28">
        <v>6.3130536632519991</v>
      </c>
      <c r="Y28" s="4">
        <f t="shared" si="10"/>
        <v>6.2492862287638395</v>
      </c>
      <c r="Z28">
        <v>3.7151246167559999</v>
      </c>
      <c r="AA28" s="4">
        <f t="shared" si="11"/>
        <v>3.6930411752871577</v>
      </c>
      <c r="AB28">
        <v>0</v>
      </c>
      <c r="AC28" s="4">
        <f t="shared" si="12"/>
        <v>0</v>
      </c>
      <c r="AD28">
        <v>5.6085820650720004</v>
      </c>
      <c r="AE28" s="4">
        <f t="shared" si="13"/>
        <v>5.5582521566229648</v>
      </c>
      <c r="AF28">
        <v>3.02775965856</v>
      </c>
      <c r="AG28" s="4">
        <f t="shared" si="14"/>
        <v>3.0130919328799948</v>
      </c>
      <c r="AH28">
        <v>0</v>
      </c>
      <c r="AI28" s="4">
        <f t="shared" si="15"/>
        <v>0</v>
      </c>
      <c r="AJ28">
        <v>7.3803679034399998</v>
      </c>
      <c r="AK28" s="4">
        <f t="shared" si="16"/>
        <v>7.2932161748157958</v>
      </c>
      <c r="AL28">
        <v>5.4605439377999998</v>
      </c>
      <c r="AM28" s="4">
        <f t="shared" si="17"/>
        <v>5.4128358736453697</v>
      </c>
      <c r="AN28">
        <v>2.7606059082000001</v>
      </c>
      <c r="AO28" s="4">
        <f t="shared" si="18"/>
        <v>2.748412396231378</v>
      </c>
      <c r="AP28">
        <v>8.4708554540400005</v>
      </c>
      <c r="AQ28" s="4">
        <f t="shared" si="19"/>
        <v>8.3560468266428174</v>
      </c>
      <c r="AR28">
        <v>7.7462727804</v>
      </c>
      <c r="AS28" s="4">
        <f t="shared" si="20"/>
        <v>7.6502651932186145</v>
      </c>
      <c r="AT28">
        <v>1.502738319348</v>
      </c>
      <c r="AU28" s="4">
        <f t="shared" si="21"/>
        <v>1.499125163417701</v>
      </c>
      <c r="AV28">
        <v>0</v>
      </c>
      <c r="AW28" s="4">
        <f t="shared" si="22"/>
        <v>0</v>
      </c>
      <c r="AX28">
        <v>1.971924945984</v>
      </c>
      <c r="AY28" s="4">
        <f t="shared" si="23"/>
        <v>1.9657033651958498</v>
      </c>
      <c r="AZ28">
        <v>1.456226720676</v>
      </c>
      <c r="BA28" s="4">
        <f t="shared" si="24"/>
        <v>1.4528337666567828</v>
      </c>
      <c r="BB28">
        <v>3.1009115062800001</v>
      </c>
      <c r="BC28" s="4">
        <f t="shared" si="25"/>
        <v>3.0855264628083527</v>
      </c>
      <c r="BD28">
        <v>2.5122389145840001</v>
      </c>
      <c r="BE28" s="4">
        <f t="shared" si="26"/>
        <v>2.5021407636016799</v>
      </c>
      <c r="BF28">
        <v>2.9538728931599998</v>
      </c>
      <c r="BG28" s="4">
        <f t="shared" si="27"/>
        <v>2.9399123090496873</v>
      </c>
      <c r="BH28">
        <v>2.5021149443640001</v>
      </c>
      <c r="BI28" s="4">
        <f t="shared" si="28"/>
        <v>2.4920980176523044</v>
      </c>
      <c r="BJ28">
        <v>2.3241706581239998</v>
      </c>
      <c r="BK28" s="4">
        <f t="shared" si="29"/>
        <v>2.3155278273270645</v>
      </c>
      <c r="BL28">
        <v>2.43705150612</v>
      </c>
      <c r="BM28" s="4">
        <f t="shared" si="30"/>
        <v>2.427548754050429</v>
      </c>
      <c r="BN28">
        <v>3.2594078991600002</v>
      </c>
      <c r="BO28" s="4">
        <f t="shared" si="31"/>
        <v>3.2424099153950299</v>
      </c>
      <c r="BP28">
        <v>3.2800410795600001</v>
      </c>
      <c r="BQ28" s="4">
        <f t="shared" si="32"/>
        <v>3.2628272083862386</v>
      </c>
      <c r="BR28">
        <v>1.799362157796</v>
      </c>
      <c r="BS28" s="4">
        <f t="shared" si="33"/>
        <v>1.7941818311161466</v>
      </c>
      <c r="BT28">
        <v>2.5569741430800002</v>
      </c>
      <c r="BU28" s="4">
        <f t="shared" si="34"/>
        <v>2.5465131562505925</v>
      </c>
      <c r="BV28">
        <v>2.6363369743199998</v>
      </c>
      <c r="BW28" s="4">
        <f t="shared" si="35"/>
        <v>2.6252165380925332</v>
      </c>
      <c r="BX28">
        <v>0</v>
      </c>
      <c r="BY28" s="4">
        <f t="shared" si="36"/>
        <v>0</v>
      </c>
      <c r="BZ28">
        <v>1.715112899892</v>
      </c>
      <c r="CA28" s="4">
        <f t="shared" si="37"/>
        <v>1.7104063202769986</v>
      </c>
      <c r="CB28">
        <v>1.656353450808</v>
      </c>
      <c r="CC28" s="4">
        <f t="shared" si="38"/>
        <v>1.6519638400015941</v>
      </c>
      <c r="CD28">
        <v>2.64892813164</v>
      </c>
      <c r="CE28" s="4">
        <f t="shared" si="39"/>
        <v>2.6377012192454501</v>
      </c>
      <c r="CF28">
        <f t="shared" si="40"/>
        <v>4.3920807133300954</v>
      </c>
    </row>
    <row r="29" spans="1:84" x14ac:dyDescent="0.2">
      <c r="A29" s="2">
        <v>42031</v>
      </c>
      <c r="B29">
        <v>2017</v>
      </c>
      <c r="C29">
        <v>3</v>
      </c>
      <c r="D29">
        <v>2.7945655914600001</v>
      </c>
      <c r="E29" s="4">
        <f t="shared" si="0"/>
        <v>2.7820702365080447</v>
      </c>
      <c r="F29">
        <v>3.1091451072299998</v>
      </c>
      <c r="G29" s="4">
        <f t="shared" si="1"/>
        <v>3.0936782539535002</v>
      </c>
      <c r="H29">
        <v>3.1621228763400002</v>
      </c>
      <c r="I29" s="4">
        <f t="shared" si="2"/>
        <v>3.1461244426038837</v>
      </c>
      <c r="J29">
        <v>2.6212776372</v>
      </c>
      <c r="K29" s="4">
        <f t="shared" si="3"/>
        <v>2.610283882877944</v>
      </c>
      <c r="L29">
        <v>3.5096958161999998</v>
      </c>
      <c r="M29" s="4">
        <f t="shared" si="4"/>
        <v>3.4899870726443969</v>
      </c>
      <c r="N29">
        <v>2.8920719150999998</v>
      </c>
      <c r="O29" s="4">
        <f t="shared" si="5"/>
        <v>2.8786893871606236</v>
      </c>
      <c r="P29">
        <v>1.75346410275</v>
      </c>
      <c r="Q29" s="4">
        <f t="shared" si="6"/>
        <v>1.7485446845745876</v>
      </c>
      <c r="R29">
        <v>2.3067232704</v>
      </c>
      <c r="S29" s="4">
        <f t="shared" si="7"/>
        <v>2.2982097148060725</v>
      </c>
      <c r="T29">
        <v>2.0839009885199999</v>
      </c>
      <c r="U29" s="4">
        <f t="shared" si="8"/>
        <v>2.0769527591920722</v>
      </c>
      <c r="V29">
        <v>1.84853407905</v>
      </c>
      <c r="W29" s="4">
        <f t="shared" si="9"/>
        <v>1.8430667538637451</v>
      </c>
      <c r="X29">
        <v>2.1827082248999998</v>
      </c>
      <c r="Y29" s="4">
        <f t="shared" si="10"/>
        <v>2.1750854805879261</v>
      </c>
      <c r="Z29">
        <v>1.6254492192000001</v>
      </c>
      <c r="AA29" s="4">
        <f t="shared" si="11"/>
        <v>1.6212218829372835</v>
      </c>
      <c r="AB29">
        <v>1.0648756456199999</v>
      </c>
      <c r="AC29" s="4">
        <f t="shared" si="12"/>
        <v>1.0630613093949846</v>
      </c>
      <c r="AD29">
        <v>2.0747618218800001</v>
      </c>
      <c r="AE29" s="4">
        <f t="shared" si="13"/>
        <v>2.0678744032919507</v>
      </c>
      <c r="AF29">
        <v>1.4637274965</v>
      </c>
      <c r="AG29" s="4">
        <f t="shared" si="14"/>
        <v>1.4602994994055836</v>
      </c>
      <c r="AH29">
        <v>0.74283654213000005</v>
      </c>
      <c r="AI29" s="4">
        <f t="shared" si="15"/>
        <v>0.74195365232468224</v>
      </c>
      <c r="AJ29">
        <v>2.4254846190000001</v>
      </c>
      <c r="AK29" s="4">
        <f t="shared" si="16"/>
        <v>2.4160718579807914</v>
      </c>
      <c r="AL29">
        <v>1.8275329395</v>
      </c>
      <c r="AM29" s="4">
        <f t="shared" si="17"/>
        <v>1.8221891368680678</v>
      </c>
      <c r="AN29">
        <v>1.1925425718</v>
      </c>
      <c r="AO29" s="4">
        <f t="shared" si="18"/>
        <v>1.1902671193431114</v>
      </c>
      <c r="AP29">
        <v>2.3083506207000002</v>
      </c>
      <c r="AQ29" s="4">
        <f t="shared" si="19"/>
        <v>2.2998250485590623</v>
      </c>
      <c r="AR29">
        <v>2.1218722055999999</v>
      </c>
      <c r="AS29" s="4">
        <f t="shared" si="20"/>
        <v>2.1146684589489637</v>
      </c>
      <c r="AT29">
        <v>0.9480722773500001</v>
      </c>
      <c r="AU29" s="4">
        <f t="shared" si="21"/>
        <v>0.9466341316810728</v>
      </c>
      <c r="AV29">
        <v>0.92300720570999994</v>
      </c>
      <c r="AW29" s="4">
        <f t="shared" si="22"/>
        <v>0.92164409802713188</v>
      </c>
      <c r="AX29">
        <v>1.2894262574399999</v>
      </c>
      <c r="AY29" s="4">
        <f t="shared" si="23"/>
        <v>1.2867660653225987</v>
      </c>
      <c r="AZ29">
        <v>1.2702553300799999</v>
      </c>
      <c r="BA29" s="4">
        <f t="shared" si="24"/>
        <v>1.2676736523142451</v>
      </c>
      <c r="BB29">
        <v>0.99439307189999993</v>
      </c>
      <c r="BC29" s="4">
        <f t="shared" si="25"/>
        <v>0.99281096376969147</v>
      </c>
      <c r="BD29">
        <v>0.95656554575999997</v>
      </c>
      <c r="BE29" s="4">
        <f t="shared" si="26"/>
        <v>0.95510151753066375</v>
      </c>
      <c r="BF29">
        <v>1.1495934963000001</v>
      </c>
      <c r="BG29" s="4">
        <f t="shared" si="27"/>
        <v>1.1474789919692236</v>
      </c>
      <c r="BH29">
        <v>0.96027348509999999</v>
      </c>
      <c r="BI29" s="4">
        <f t="shared" si="28"/>
        <v>0.95879808483410223</v>
      </c>
      <c r="BJ29">
        <v>1.1196314622000001</v>
      </c>
      <c r="BK29" s="4">
        <f t="shared" si="29"/>
        <v>1.1176257428221632</v>
      </c>
      <c r="BL29">
        <v>1.0760545349999999</v>
      </c>
      <c r="BM29" s="4">
        <f t="shared" si="30"/>
        <v>1.0742019056203294</v>
      </c>
      <c r="BN29">
        <v>1.2430101159</v>
      </c>
      <c r="BO29" s="4">
        <f t="shared" si="31"/>
        <v>1.2405379972628325</v>
      </c>
      <c r="BP29">
        <v>1.1817303514199999</v>
      </c>
      <c r="BQ29" s="4">
        <f t="shared" si="32"/>
        <v>1.1794959728224523</v>
      </c>
      <c r="BR29">
        <v>0.92824720145999984</v>
      </c>
      <c r="BS29" s="4">
        <f t="shared" si="33"/>
        <v>0.92686857287277058</v>
      </c>
      <c r="BT29">
        <v>1.11504645108</v>
      </c>
      <c r="BU29" s="4">
        <f t="shared" si="34"/>
        <v>1.1130571253390942</v>
      </c>
      <c r="BV29">
        <v>1.58569180002</v>
      </c>
      <c r="BW29" s="4">
        <f t="shared" si="35"/>
        <v>1.5816687304445591</v>
      </c>
      <c r="BX29">
        <v>1.1776392747</v>
      </c>
      <c r="BY29" s="4">
        <f t="shared" si="36"/>
        <v>1.1754203398818945</v>
      </c>
      <c r="BZ29">
        <v>1.0058256342</v>
      </c>
      <c r="CA29" s="4">
        <f t="shared" si="37"/>
        <v>1.004206937869738</v>
      </c>
      <c r="CB29">
        <v>1.12476207771</v>
      </c>
      <c r="CC29" s="4">
        <f t="shared" si="38"/>
        <v>1.1227379341396726</v>
      </c>
      <c r="CD29">
        <v>1.3412516212800001</v>
      </c>
      <c r="CE29" s="4">
        <f t="shared" si="39"/>
        <v>1.3383732918214621</v>
      </c>
      <c r="CF29">
        <f t="shared" si="40"/>
        <v>1.6747138450846104</v>
      </c>
    </row>
    <row r="30" spans="1:84" x14ac:dyDescent="0.2">
      <c r="A30" s="2">
        <v>42032</v>
      </c>
      <c r="B30">
        <v>2017</v>
      </c>
      <c r="C30">
        <v>4</v>
      </c>
      <c r="D30">
        <v>14.79142224336</v>
      </c>
      <c r="E30" s="4">
        <f t="shared" si="0"/>
        <v>14.441364368189817</v>
      </c>
      <c r="F30">
        <v>14.87410566702</v>
      </c>
      <c r="G30" s="4">
        <f t="shared" si="1"/>
        <v>14.520123235990116</v>
      </c>
      <c r="H30">
        <v>15.08233714286</v>
      </c>
      <c r="I30" s="4">
        <f t="shared" si="2"/>
        <v>14.718374112954569</v>
      </c>
      <c r="J30">
        <v>16.812362843584001</v>
      </c>
      <c r="K30" s="4">
        <f t="shared" si="3"/>
        <v>16.360113972569081</v>
      </c>
      <c r="L30">
        <v>20.486423467000002</v>
      </c>
      <c r="M30" s="4">
        <f t="shared" si="4"/>
        <v>19.814913792649204</v>
      </c>
      <c r="N30">
        <v>16.071199748824</v>
      </c>
      <c r="O30" s="4">
        <f t="shared" si="5"/>
        <v>15.657946210637439</v>
      </c>
      <c r="P30">
        <v>20.357056363022</v>
      </c>
      <c r="Q30" s="4">
        <f t="shared" si="6"/>
        <v>19.694000772994393</v>
      </c>
      <c r="R30">
        <v>14.256209455774</v>
      </c>
      <c r="S30" s="4">
        <f t="shared" si="7"/>
        <v>13.931026242898961</v>
      </c>
      <c r="T30">
        <v>16.241503064300002</v>
      </c>
      <c r="U30" s="4">
        <f t="shared" si="8"/>
        <v>15.819444789439734</v>
      </c>
      <c r="V30">
        <v>14.922799157644</v>
      </c>
      <c r="W30" s="4">
        <f t="shared" si="9"/>
        <v>14.566495262124992</v>
      </c>
      <c r="X30">
        <v>13.608727236136</v>
      </c>
      <c r="Y30" s="4">
        <f t="shared" si="10"/>
        <v>13.312411304955919</v>
      </c>
      <c r="Z30">
        <v>10.854326805654001</v>
      </c>
      <c r="AA30" s="4">
        <f t="shared" si="11"/>
        <v>10.6658205490077</v>
      </c>
      <c r="AB30">
        <v>7.7500340937540004</v>
      </c>
      <c r="AC30" s="4">
        <f t="shared" si="12"/>
        <v>7.653933248227041</v>
      </c>
      <c r="AD30">
        <v>11.779858489512</v>
      </c>
      <c r="AE30" s="4">
        <f t="shared" si="13"/>
        <v>11.557834383859316</v>
      </c>
      <c r="AF30">
        <v>9.2188058742640013</v>
      </c>
      <c r="AG30" s="4">
        <f t="shared" si="14"/>
        <v>9.082827663468219</v>
      </c>
      <c r="AH30">
        <v>7.4424153635519996</v>
      </c>
      <c r="AI30" s="4">
        <f t="shared" si="15"/>
        <v>7.3537920892421846</v>
      </c>
      <c r="AJ30">
        <v>12.21858994682</v>
      </c>
      <c r="AK30" s="4">
        <f t="shared" si="16"/>
        <v>11.979719642358351</v>
      </c>
      <c r="AL30">
        <v>11.77121900006</v>
      </c>
      <c r="AM30" s="4">
        <f t="shared" si="17"/>
        <v>11.549520445264204</v>
      </c>
      <c r="AN30">
        <v>10.204813823249999</v>
      </c>
      <c r="AO30" s="4">
        <f t="shared" si="18"/>
        <v>10.038192662982489</v>
      </c>
      <c r="AP30">
        <v>12.689991404320001</v>
      </c>
      <c r="AQ30" s="4">
        <f t="shared" si="19"/>
        <v>12.432333993373256</v>
      </c>
      <c r="AR30">
        <v>12.53328973144</v>
      </c>
      <c r="AS30" s="4">
        <f t="shared" si="20"/>
        <v>12.281956369052448</v>
      </c>
      <c r="AT30">
        <v>13.1868801667</v>
      </c>
      <c r="AU30" s="4">
        <f t="shared" si="21"/>
        <v>12.90865007305055</v>
      </c>
      <c r="AV30">
        <v>11.092129636626</v>
      </c>
      <c r="AW30" s="4">
        <f t="shared" si="22"/>
        <v>10.895273092824853</v>
      </c>
      <c r="AX30">
        <v>11.510950849527999</v>
      </c>
      <c r="AY30" s="4">
        <f t="shared" si="23"/>
        <v>11.298947666391602</v>
      </c>
      <c r="AZ30">
        <v>10.85528538362</v>
      </c>
      <c r="BA30" s="4">
        <f t="shared" si="24"/>
        <v>10.666745830404267</v>
      </c>
      <c r="BB30">
        <v>16.176597385120001</v>
      </c>
      <c r="BC30" s="4">
        <f t="shared" si="25"/>
        <v>15.757905700383565</v>
      </c>
      <c r="BD30">
        <v>15.654713544968001</v>
      </c>
      <c r="BE30" s="4">
        <f t="shared" si="26"/>
        <v>15.262601455087994</v>
      </c>
      <c r="BF30">
        <v>15.463304929055999</v>
      </c>
      <c r="BG30" s="4">
        <f t="shared" si="27"/>
        <v>15.080722850129652</v>
      </c>
      <c r="BH30">
        <v>13.827577732648001</v>
      </c>
      <c r="BI30" s="4">
        <f t="shared" si="28"/>
        <v>13.521654683124124</v>
      </c>
      <c r="BJ30">
        <v>13.96788651172</v>
      </c>
      <c r="BK30" s="4">
        <f t="shared" si="29"/>
        <v>13.655723545953137</v>
      </c>
      <c r="BL30">
        <v>13.980780470946</v>
      </c>
      <c r="BM30" s="4">
        <f t="shared" si="30"/>
        <v>13.668040914823143</v>
      </c>
      <c r="BN30">
        <v>17.14186404742</v>
      </c>
      <c r="BO30" s="4">
        <f t="shared" si="31"/>
        <v>16.671714442587632</v>
      </c>
      <c r="BP30">
        <v>17.174512248824001</v>
      </c>
      <c r="BQ30" s="4">
        <f t="shared" si="32"/>
        <v>16.702570055247989</v>
      </c>
      <c r="BR30">
        <v>14.309260423077999</v>
      </c>
      <c r="BS30" s="4">
        <f t="shared" si="33"/>
        <v>13.981652528909253</v>
      </c>
      <c r="BT30">
        <v>16.443314147088</v>
      </c>
      <c r="BU30" s="4">
        <f t="shared" si="34"/>
        <v>16.010702018864279</v>
      </c>
      <c r="BV30">
        <v>14.956296143735999</v>
      </c>
      <c r="BW30" s="4">
        <f t="shared" si="35"/>
        <v>14.598390872793388</v>
      </c>
      <c r="BX30">
        <v>10.964847916589999</v>
      </c>
      <c r="BY30" s="4">
        <f t="shared" si="36"/>
        <v>10.772483292855682</v>
      </c>
      <c r="BZ30">
        <v>12.652830159363999</v>
      </c>
      <c r="CA30" s="4">
        <f t="shared" si="37"/>
        <v>12.396679581697263</v>
      </c>
      <c r="CB30">
        <v>12.604409297354</v>
      </c>
      <c r="CC30" s="4">
        <f t="shared" si="38"/>
        <v>12.350215483377641</v>
      </c>
      <c r="CD30">
        <v>14.299294699803999</v>
      </c>
      <c r="CE30" s="4">
        <f t="shared" si="39"/>
        <v>13.972142973545051</v>
      </c>
      <c r="CF30">
        <f t="shared" si="40"/>
        <v>13.600714028337709</v>
      </c>
    </row>
    <row r="31" spans="1:84" x14ac:dyDescent="0.2">
      <c r="A31" s="2">
        <v>42033</v>
      </c>
      <c r="B31">
        <v>2017</v>
      </c>
      <c r="C31">
        <v>5</v>
      </c>
      <c r="D31">
        <v>128.703303567185</v>
      </c>
      <c r="E31" s="4">
        <f t="shared" si="0"/>
        <v>102.20003900861386</v>
      </c>
      <c r="F31">
        <v>131.21687565477001</v>
      </c>
      <c r="G31" s="4">
        <f t="shared" si="1"/>
        <v>103.66828612421101</v>
      </c>
      <c r="H31">
        <v>143.60837160595</v>
      </c>
      <c r="I31" s="4">
        <f t="shared" si="2"/>
        <v>110.61098857344982</v>
      </c>
      <c r="J31">
        <v>130.881316073645</v>
      </c>
      <c r="K31" s="4">
        <f t="shared" si="3"/>
        <v>103.47344583817402</v>
      </c>
      <c r="L31">
        <v>136.51696883707001</v>
      </c>
      <c r="M31" s="4">
        <f t="shared" si="4"/>
        <v>106.69795638833153</v>
      </c>
      <c r="N31">
        <v>131.840852675885</v>
      </c>
      <c r="O31" s="4">
        <f t="shared" si="5"/>
        <v>104.02963598099795</v>
      </c>
      <c r="P31">
        <v>120.45131586906</v>
      </c>
      <c r="Q31" s="4">
        <f t="shared" si="6"/>
        <v>97.237684677719102</v>
      </c>
      <c r="R31">
        <v>121.807700791415</v>
      </c>
      <c r="S31" s="4">
        <f t="shared" si="7"/>
        <v>98.06831523606958</v>
      </c>
      <c r="T31">
        <v>117.3904813851</v>
      </c>
      <c r="U31" s="4">
        <f t="shared" si="8"/>
        <v>95.341641193379189</v>
      </c>
      <c r="V31">
        <v>116.299479301095</v>
      </c>
      <c r="W31" s="4">
        <f t="shared" si="9"/>
        <v>94.658569083965673</v>
      </c>
      <c r="X31">
        <v>118.41475628300999</v>
      </c>
      <c r="Y31" s="4">
        <f t="shared" si="10"/>
        <v>95.979469074106547</v>
      </c>
      <c r="Z31">
        <v>109.03927477463</v>
      </c>
      <c r="AA31" s="4">
        <f t="shared" si="11"/>
        <v>90.015973265226378</v>
      </c>
      <c r="AB31">
        <v>107.22950808285501</v>
      </c>
      <c r="AC31" s="4">
        <f t="shared" si="12"/>
        <v>88.832440236949296</v>
      </c>
      <c r="AD31">
        <v>120.708537798165</v>
      </c>
      <c r="AE31" s="4">
        <f t="shared" si="13"/>
        <v>97.395656042371357</v>
      </c>
      <c r="AF31">
        <v>114.268514967985</v>
      </c>
      <c r="AG31" s="4">
        <f t="shared" si="14"/>
        <v>93.376845347203229</v>
      </c>
      <c r="AH31">
        <v>112.77626091761</v>
      </c>
      <c r="AI31" s="4">
        <f t="shared" si="15"/>
        <v>92.426684875119037</v>
      </c>
      <c r="AJ31">
        <v>118.29876364032999</v>
      </c>
      <c r="AK31" s="4">
        <f t="shared" si="16"/>
        <v>95.90740767420094</v>
      </c>
      <c r="AL31">
        <v>121.50875406010999</v>
      </c>
      <c r="AM31" s="4">
        <f t="shared" si="17"/>
        <v>97.88575035892552</v>
      </c>
      <c r="AN31">
        <v>124.68774628107001</v>
      </c>
      <c r="AO31" s="4">
        <f t="shared" si="18"/>
        <v>99.812491764826035</v>
      </c>
      <c r="AP31">
        <v>126.940460266995</v>
      </c>
      <c r="AQ31" s="4">
        <f t="shared" si="19"/>
        <v>101.15825154252053</v>
      </c>
      <c r="AR31">
        <v>129.15515227585499</v>
      </c>
      <c r="AS31" s="4">
        <f t="shared" si="20"/>
        <v>102.46546690081611</v>
      </c>
      <c r="AT31">
        <v>135.20115352112001</v>
      </c>
      <c r="AU31" s="4">
        <f t="shared" si="21"/>
        <v>105.95419045961367</v>
      </c>
      <c r="AV31">
        <v>121.63291408824</v>
      </c>
      <c r="AW31" s="4">
        <f t="shared" si="22"/>
        <v>97.961608824884522</v>
      </c>
      <c r="AX31">
        <v>127.04717912816</v>
      </c>
      <c r="AY31" s="4">
        <f t="shared" si="23"/>
        <v>101.22160196908355</v>
      </c>
      <c r="AZ31">
        <v>133.25570582021501</v>
      </c>
      <c r="BA31" s="4">
        <f t="shared" si="24"/>
        <v>104.84437280638511</v>
      </c>
      <c r="BB31">
        <v>120.22252346674</v>
      </c>
      <c r="BC31" s="4">
        <f t="shared" si="25"/>
        <v>97.096995228802641</v>
      </c>
      <c r="BD31">
        <v>125.36696117196</v>
      </c>
      <c r="BE31" s="4">
        <f t="shared" si="26"/>
        <v>100.21996124637323</v>
      </c>
      <c r="BF31">
        <v>125.29127081096</v>
      </c>
      <c r="BG31" s="4">
        <f t="shared" si="27"/>
        <v>100.1746267446795</v>
      </c>
      <c r="BH31">
        <v>125.936036564585</v>
      </c>
      <c r="BI31" s="4">
        <f t="shared" si="28"/>
        <v>100.56022007563061</v>
      </c>
      <c r="BJ31">
        <v>129.91629106396499</v>
      </c>
      <c r="BK31" s="4">
        <f t="shared" si="29"/>
        <v>102.911102769858</v>
      </c>
      <c r="BL31">
        <v>132.156342546215</v>
      </c>
      <c r="BM31" s="4">
        <f t="shared" si="30"/>
        <v>104.21186434590697</v>
      </c>
      <c r="BN31">
        <v>134.34264062923</v>
      </c>
      <c r="BO31" s="4">
        <f t="shared" si="31"/>
        <v>105.4659284832549</v>
      </c>
      <c r="BP31">
        <v>135.34756711174001</v>
      </c>
      <c r="BQ31" s="4">
        <f t="shared" si="32"/>
        <v>106.03722483483287</v>
      </c>
      <c r="BR31">
        <v>133.402845355925</v>
      </c>
      <c r="BS31" s="4">
        <f t="shared" si="33"/>
        <v>104.92873471743405</v>
      </c>
      <c r="BT31">
        <v>121.85627081523</v>
      </c>
      <c r="BU31" s="4">
        <f t="shared" si="34"/>
        <v>98.097949636038521</v>
      </c>
      <c r="BV31">
        <v>120.77831490094</v>
      </c>
      <c r="BW31" s="4">
        <f t="shared" si="35"/>
        <v>97.438472740443004</v>
      </c>
      <c r="BX31">
        <v>114.27233596628</v>
      </c>
      <c r="BY31" s="4">
        <f t="shared" si="36"/>
        <v>93.379269138775399</v>
      </c>
      <c r="BZ31">
        <v>130.37701020487</v>
      </c>
      <c r="CA31" s="4">
        <f t="shared" si="37"/>
        <v>103.17994654093276</v>
      </c>
      <c r="CB31">
        <v>142.21666955929001</v>
      </c>
      <c r="CC31" s="4">
        <f t="shared" si="38"/>
        <v>109.85573979843196</v>
      </c>
      <c r="CD31">
        <v>144.53457536535501</v>
      </c>
      <c r="CE31" s="4">
        <f t="shared" si="39"/>
        <v>111.11018580368543</v>
      </c>
      <c r="CF31">
        <f t="shared" si="40"/>
        <v>100.26664274442889</v>
      </c>
    </row>
    <row r="32" spans="1:84" x14ac:dyDescent="0.2">
      <c r="A32" s="2">
        <v>42034</v>
      </c>
      <c r="B32">
        <v>2017</v>
      </c>
      <c r="C32">
        <v>6</v>
      </c>
      <c r="D32">
        <v>184.75231119699899</v>
      </c>
      <c r="E32" s="4">
        <f t="shared" si="0"/>
        <v>130.13884480878656</v>
      </c>
      <c r="F32">
        <v>164.20512685098601</v>
      </c>
      <c r="G32" s="4">
        <f t="shared" si="1"/>
        <v>121.06380895634855</v>
      </c>
      <c r="H32">
        <v>166.655909824443</v>
      </c>
      <c r="I32" s="4">
        <f t="shared" si="2"/>
        <v>122.21720217738239</v>
      </c>
      <c r="J32">
        <v>209.849044544685</v>
      </c>
      <c r="K32" s="4">
        <f t="shared" si="3"/>
        <v>139.39045015057746</v>
      </c>
      <c r="L32">
        <v>197.531675306511</v>
      </c>
      <c r="M32" s="4">
        <f t="shared" si="4"/>
        <v>135.10165490747599</v>
      </c>
      <c r="N32">
        <v>206.09947541258401</v>
      </c>
      <c r="O32" s="4">
        <f t="shared" si="5"/>
        <v>138.13628538803627</v>
      </c>
      <c r="P32">
        <v>169.016213198625</v>
      </c>
      <c r="Q32" s="4">
        <f t="shared" si="6"/>
        <v>123.30984468022011</v>
      </c>
      <c r="R32">
        <v>191.578984846509</v>
      </c>
      <c r="S32" s="4">
        <f t="shared" si="7"/>
        <v>132.85497295079873</v>
      </c>
      <c r="T32">
        <v>187.68680574302101</v>
      </c>
      <c r="U32" s="4">
        <f t="shared" si="8"/>
        <v>131.32466646299139</v>
      </c>
      <c r="V32">
        <v>180.682468832502</v>
      </c>
      <c r="W32" s="4">
        <f t="shared" si="9"/>
        <v>128.44862156304913</v>
      </c>
      <c r="X32">
        <v>208.318520235384</v>
      </c>
      <c r="Y32" s="4">
        <f t="shared" si="10"/>
        <v>138.88395083848783</v>
      </c>
      <c r="Z32">
        <v>198.57595005444301</v>
      </c>
      <c r="AA32" s="4">
        <f t="shared" si="11"/>
        <v>135.48409735040357</v>
      </c>
      <c r="AB32">
        <v>200.87945138730299</v>
      </c>
      <c r="AC32" s="4">
        <f t="shared" si="12"/>
        <v>136.31536500384084</v>
      </c>
      <c r="AD32">
        <v>180.90554995718401</v>
      </c>
      <c r="AE32" s="4">
        <f t="shared" si="13"/>
        <v>128.54264114868607</v>
      </c>
      <c r="AF32">
        <v>179.72466117414899</v>
      </c>
      <c r="AG32" s="4">
        <f t="shared" si="14"/>
        <v>128.04313503948873</v>
      </c>
      <c r="AH32">
        <v>195.77735222533801</v>
      </c>
      <c r="AI32" s="4">
        <f t="shared" si="15"/>
        <v>134.45131759435549</v>
      </c>
      <c r="AJ32">
        <v>167.05736502327599</v>
      </c>
      <c r="AK32" s="4">
        <f t="shared" si="16"/>
        <v>122.40430388964388</v>
      </c>
      <c r="AL32">
        <v>164.51553033279001</v>
      </c>
      <c r="AM32" s="4">
        <f t="shared" si="17"/>
        <v>121.21095477970337</v>
      </c>
      <c r="AN32">
        <v>175.53868637744401</v>
      </c>
      <c r="AO32" s="4">
        <f t="shared" si="18"/>
        <v>126.23655771325419</v>
      </c>
      <c r="AP32">
        <v>171.715467645111</v>
      </c>
      <c r="AQ32" s="4">
        <f t="shared" si="19"/>
        <v>124.53754471938433</v>
      </c>
      <c r="AR32">
        <v>168.485391114729</v>
      </c>
      <c r="AS32" s="4">
        <f t="shared" si="20"/>
        <v>123.06566788419586</v>
      </c>
      <c r="AT32">
        <v>205.502085740133</v>
      </c>
      <c r="AU32" s="4">
        <f t="shared" si="21"/>
        <v>137.93231415046105</v>
      </c>
      <c r="AV32">
        <v>204.501918083736</v>
      </c>
      <c r="AW32" s="4">
        <f t="shared" si="22"/>
        <v>137.58826288385268</v>
      </c>
      <c r="AX32">
        <v>177.421230698361</v>
      </c>
      <c r="AY32" s="4">
        <f t="shared" si="23"/>
        <v>127.05596173432735</v>
      </c>
      <c r="AZ32">
        <v>189.59122921521899</v>
      </c>
      <c r="BA32" s="4">
        <f t="shared" si="24"/>
        <v>132.07949450267867</v>
      </c>
      <c r="BB32">
        <v>200.56960044174301</v>
      </c>
      <c r="BC32" s="4">
        <f t="shared" si="25"/>
        <v>136.2045370475663</v>
      </c>
      <c r="BD32">
        <v>192.84686911686299</v>
      </c>
      <c r="BE32" s="4">
        <f t="shared" si="26"/>
        <v>133.34300523178061</v>
      </c>
      <c r="BF32">
        <v>209.48311194524999</v>
      </c>
      <c r="BG32" s="4">
        <f t="shared" si="27"/>
        <v>139.27003324082415</v>
      </c>
      <c r="BH32">
        <v>207.53970902718299</v>
      </c>
      <c r="BI32" s="4">
        <f t="shared" si="28"/>
        <v>138.62333971024256</v>
      </c>
      <c r="BJ32">
        <v>199.676429935203</v>
      </c>
      <c r="BK32" s="4">
        <f t="shared" si="29"/>
        <v>135.88334726053415</v>
      </c>
      <c r="BL32">
        <v>217.44107236823399</v>
      </c>
      <c r="BM32" s="4">
        <f t="shared" si="30"/>
        <v>141.79208044399789</v>
      </c>
      <c r="BN32">
        <v>208.74682862958599</v>
      </c>
      <c r="BO32" s="4">
        <f t="shared" si="31"/>
        <v>139.02644708893041</v>
      </c>
      <c r="BP32">
        <v>200.497255407306</v>
      </c>
      <c r="BQ32" s="4">
        <f t="shared" si="32"/>
        <v>136.17861632592599</v>
      </c>
      <c r="BR32">
        <v>223.041280430358</v>
      </c>
      <c r="BS32" s="4">
        <f t="shared" si="33"/>
        <v>143.44541998873621</v>
      </c>
      <c r="BT32">
        <v>187.64267874962999</v>
      </c>
      <c r="BU32" s="4">
        <f t="shared" si="34"/>
        <v>131.30703892829106</v>
      </c>
      <c r="BV32">
        <v>190.263345977445</v>
      </c>
      <c r="BW32" s="4">
        <f t="shared" si="35"/>
        <v>132.34312066139228</v>
      </c>
      <c r="BX32">
        <v>199.75918656673201</v>
      </c>
      <c r="BY32" s="4">
        <f t="shared" si="36"/>
        <v>135.91321437824809</v>
      </c>
      <c r="BZ32">
        <v>200.36161844481899</v>
      </c>
      <c r="CA32" s="4">
        <f t="shared" si="37"/>
        <v>136.12997341149543</v>
      </c>
      <c r="CB32">
        <v>209.00998537220099</v>
      </c>
      <c r="CC32" s="4">
        <f t="shared" si="38"/>
        <v>139.1137069957407</v>
      </c>
      <c r="CD32">
        <v>197.74306739526301</v>
      </c>
      <c r="CE32" s="4">
        <f t="shared" si="39"/>
        <v>135.17935427064296</v>
      </c>
      <c r="CF32">
        <f t="shared" si="40"/>
        <v>132.51752318794757</v>
      </c>
    </row>
    <row r="33" spans="1:84" x14ac:dyDescent="0.2">
      <c r="A33" s="2">
        <v>42035</v>
      </c>
      <c r="B33">
        <v>2017</v>
      </c>
      <c r="C33">
        <v>7</v>
      </c>
      <c r="D33">
        <v>326.85267984772997</v>
      </c>
      <c r="E33" s="4">
        <f t="shared" si="0"/>
        <v>157.68526798477299</v>
      </c>
      <c r="F33">
        <v>310.38573355497499</v>
      </c>
      <c r="G33" s="4">
        <f t="shared" si="1"/>
        <v>156.0385733554975</v>
      </c>
      <c r="H33">
        <v>314.53160912206499</v>
      </c>
      <c r="I33" s="4">
        <f t="shared" si="2"/>
        <v>156.4531609122065</v>
      </c>
      <c r="J33">
        <v>330.13734549754503</v>
      </c>
      <c r="K33" s="4">
        <f t="shared" si="3"/>
        <v>158.0137345497545</v>
      </c>
      <c r="L33">
        <v>353.81888108800501</v>
      </c>
      <c r="M33" s="4">
        <f t="shared" si="4"/>
        <v>160.3818881088005</v>
      </c>
      <c r="N33">
        <v>318.42702132845</v>
      </c>
      <c r="O33" s="4">
        <f t="shared" si="5"/>
        <v>156.84270213284501</v>
      </c>
      <c r="P33">
        <v>282.04391784008499</v>
      </c>
      <c r="Q33" s="4">
        <f t="shared" si="6"/>
        <v>153.20439178400849</v>
      </c>
      <c r="R33">
        <v>317.79352911373502</v>
      </c>
      <c r="S33" s="4">
        <f t="shared" si="7"/>
        <v>156.77935291137351</v>
      </c>
      <c r="T33">
        <v>281.43402374825001</v>
      </c>
      <c r="U33" s="4">
        <f t="shared" si="8"/>
        <v>153.143402374825</v>
      </c>
      <c r="V33">
        <v>266.08982333488501</v>
      </c>
      <c r="W33" s="4">
        <f t="shared" si="9"/>
        <v>151.60898233348851</v>
      </c>
      <c r="X33">
        <v>307.30829140092999</v>
      </c>
      <c r="Y33" s="4">
        <f t="shared" si="10"/>
        <v>155.73082914009299</v>
      </c>
      <c r="Z33">
        <v>253.72173904245</v>
      </c>
      <c r="AA33" s="4">
        <f t="shared" si="11"/>
        <v>150.37217390424502</v>
      </c>
      <c r="AB33">
        <v>222.524652662525</v>
      </c>
      <c r="AC33" s="4">
        <f t="shared" si="12"/>
        <v>143.29709899440115</v>
      </c>
      <c r="AD33">
        <v>300.08413694863498</v>
      </c>
      <c r="AE33" s="4">
        <f t="shared" si="13"/>
        <v>155.00841369486349</v>
      </c>
      <c r="AF33">
        <v>226.8687452101</v>
      </c>
      <c r="AG33" s="4">
        <f t="shared" si="14"/>
        <v>144.51766112497157</v>
      </c>
      <c r="AH33">
        <v>208.594314424385</v>
      </c>
      <c r="AI33" s="4">
        <f t="shared" si="15"/>
        <v>138.97577360809828</v>
      </c>
      <c r="AJ33">
        <v>285.98767503880498</v>
      </c>
      <c r="AK33" s="4">
        <f t="shared" si="16"/>
        <v>153.59876750388051</v>
      </c>
      <c r="AL33">
        <v>225.923160571035</v>
      </c>
      <c r="AM33" s="4">
        <f t="shared" si="17"/>
        <v>144.25712139918593</v>
      </c>
      <c r="AN33">
        <v>227.47744138396499</v>
      </c>
      <c r="AO33" s="4">
        <f t="shared" si="18"/>
        <v>144.68386324221262</v>
      </c>
      <c r="AP33">
        <v>289.60276505385502</v>
      </c>
      <c r="AQ33" s="4">
        <f t="shared" si="19"/>
        <v>153.96027650538551</v>
      </c>
      <c r="AR33">
        <v>248.66306295212999</v>
      </c>
      <c r="AS33" s="4">
        <f t="shared" si="20"/>
        <v>149.72975274935405</v>
      </c>
      <c r="AT33">
        <v>272.93664538463503</v>
      </c>
      <c r="AU33" s="4">
        <f t="shared" si="21"/>
        <v>152.2936645384635</v>
      </c>
      <c r="AV33">
        <v>242.55695988875999</v>
      </c>
      <c r="AW33" s="4">
        <f t="shared" si="22"/>
        <v>148.42275382399595</v>
      </c>
      <c r="AX33">
        <v>238.54851554916499</v>
      </c>
      <c r="AY33" s="4">
        <f t="shared" si="23"/>
        <v>147.49988471602865</v>
      </c>
      <c r="AZ33">
        <v>265.44544253109001</v>
      </c>
      <c r="BA33" s="4">
        <f t="shared" si="24"/>
        <v>151.544544253109</v>
      </c>
      <c r="BB33">
        <v>286.68305419539001</v>
      </c>
      <c r="BC33" s="4">
        <f t="shared" si="25"/>
        <v>153.668305419539</v>
      </c>
      <c r="BD33">
        <v>283.78866577649501</v>
      </c>
      <c r="BE33" s="4">
        <f t="shared" si="26"/>
        <v>153.37886657764949</v>
      </c>
      <c r="BF33">
        <v>311.37886867140003</v>
      </c>
      <c r="BG33" s="4">
        <f t="shared" si="27"/>
        <v>156.13788686714</v>
      </c>
      <c r="BH33">
        <v>310.77054829974003</v>
      </c>
      <c r="BI33" s="4">
        <f t="shared" si="28"/>
        <v>156.077054829974</v>
      </c>
      <c r="BJ33">
        <v>283.79606491210501</v>
      </c>
      <c r="BK33" s="4">
        <f t="shared" si="29"/>
        <v>153.3796064912105</v>
      </c>
      <c r="BL33">
        <v>305.87029750357999</v>
      </c>
      <c r="BM33" s="4">
        <f t="shared" si="30"/>
        <v>155.587029750358</v>
      </c>
      <c r="BN33">
        <v>299.71391419125501</v>
      </c>
      <c r="BO33" s="4">
        <f t="shared" si="31"/>
        <v>154.9713914191255</v>
      </c>
      <c r="BP33">
        <v>298.407458165935</v>
      </c>
      <c r="BQ33" s="4">
        <f t="shared" si="32"/>
        <v>154.84074581659351</v>
      </c>
      <c r="BR33">
        <v>284.93355321891499</v>
      </c>
      <c r="BS33" s="4">
        <f t="shared" si="33"/>
        <v>153.4933553218915</v>
      </c>
      <c r="BT33">
        <v>272.60002502183499</v>
      </c>
      <c r="BU33" s="4">
        <f t="shared" si="34"/>
        <v>152.26000250218351</v>
      </c>
      <c r="BV33">
        <v>266.22355409889002</v>
      </c>
      <c r="BW33" s="4">
        <f t="shared" si="35"/>
        <v>151.622355409889</v>
      </c>
      <c r="BX33">
        <v>247.67225503397501</v>
      </c>
      <c r="BY33" s="4">
        <f t="shared" si="36"/>
        <v>149.52578157219205</v>
      </c>
      <c r="BZ33">
        <v>268.87019700685499</v>
      </c>
      <c r="CA33" s="4">
        <f t="shared" si="37"/>
        <v>151.8870197006855</v>
      </c>
      <c r="CB33">
        <v>275.332035121915</v>
      </c>
      <c r="CC33" s="4">
        <f t="shared" si="38"/>
        <v>152.53320351219151</v>
      </c>
      <c r="CD33">
        <v>283.38577929834003</v>
      </c>
      <c r="CE33" s="4">
        <f t="shared" si="39"/>
        <v>153.338577929834</v>
      </c>
      <c r="CF33">
        <f t="shared" si="40"/>
        <v>152.54116579670713</v>
      </c>
    </row>
    <row r="34" spans="1:84" x14ac:dyDescent="0.2">
      <c r="A34" s="2">
        <v>42036</v>
      </c>
      <c r="B34">
        <v>2017</v>
      </c>
      <c r="C34">
        <v>8</v>
      </c>
      <c r="D34">
        <v>382.99687153661</v>
      </c>
      <c r="E34" s="4">
        <f t="shared" si="0"/>
        <v>163.29968715366101</v>
      </c>
      <c r="F34">
        <v>385.09080609275998</v>
      </c>
      <c r="G34" s="4">
        <f t="shared" si="1"/>
        <v>163.509080609276</v>
      </c>
      <c r="H34">
        <v>362.03165210675201</v>
      </c>
      <c r="I34" s="4">
        <f t="shared" si="2"/>
        <v>161.20316521067519</v>
      </c>
      <c r="J34">
        <v>387.21447951735001</v>
      </c>
      <c r="K34" s="4">
        <f t="shared" si="3"/>
        <v>163.721447951735</v>
      </c>
      <c r="L34">
        <v>384.47763985173202</v>
      </c>
      <c r="M34" s="4">
        <f t="shared" si="4"/>
        <v>163.4477639851732</v>
      </c>
      <c r="N34">
        <v>372.15881125679601</v>
      </c>
      <c r="O34" s="4">
        <f t="shared" si="5"/>
        <v>162.2158811256796</v>
      </c>
      <c r="P34">
        <v>347.00972294453999</v>
      </c>
      <c r="Q34" s="4">
        <f t="shared" si="6"/>
        <v>159.700972294454</v>
      </c>
      <c r="R34">
        <v>380.66711923681601</v>
      </c>
      <c r="S34" s="4">
        <f t="shared" si="7"/>
        <v>163.06671192368159</v>
      </c>
      <c r="T34">
        <v>349.36953189072801</v>
      </c>
      <c r="U34" s="4">
        <f t="shared" si="8"/>
        <v>159.9369531890728</v>
      </c>
      <c r="V34">
        <v>360.19170467641601</v>
      </c>
      <c r="W34" s="4">
        <f t="shared" si="9"/>
        <v>161.0191704676416</v>
      </c>
      <c r="X34">
        <v>386.70236974762997</v>
      </c>
      <c r="Y34" s="4">
        <f t="shared" si="10"/>
        <v>163.67023697476299</v>
      </c>
      <c r="Z34">
        <v>339.39300571401998</v>
      </c>
      <c r="AA34" s="4">
        <f t="shared" si="11"/>
        <v>158.93930057140199</v>
      </c>
      <c r="AB34">
        <v>343.62388232544401</v>
      </c>
      <c r="AC34" s="4">
        <f t="shared" si="12"/>
        <v>159.36238823254439</v>
      </c>
      <c r="AD34">
        <v>380.97245951186</v>
      </c>
      <c r="AE34" s="4">
        <f t="shared" si="13"/>
        <v>163.09724595118601</v>
      </c>
      <c r="AF34">
        <v>335.46268076031203</v>
      </c>
      <c r="AG34" s="4">
        <f t="shared" si="14"/>
        <v>158.5462680760312</v>
      </c>
      <c r="AH34">
        <v>345.21648143979797</v>
      </c>
      <c r="AI34" s="4">
        <f t="shared" si="15"/>
        <v>159.5216481439798</v>
      </c>
      <c r="AJ34">
        <v>381.01725348051002</v>
      </c>
      <c r="AK34" s="4">
        <f t="shared" si="16"/>
        <v>163.10172534805099</v>
      </c>
      <c r="AL34">
        <v>347.50411043282003</v>
      </c>
      <c r="AM34" s="4">
        <f t="shared" si="17"/>
        <v>159.75041104328201</v>
      </c>
      <c r="AN34">
        <v>354.69354641745002</v>
      </c>
      <c r="AO34" s="4">
        <f t="shared" si="18"/>
        <v>160.46935464174501</v>
      </c>
      <c r="AP34">
        <v>358.05050628164003</v>
      </c>
      <c r="AQ34" s="4">
        <f t="shared" si="19"/>
        <v>160.805050628164</v>
      </c>
      <c r="AR34">
        <v>337.30626062040398</v>
      </c>
      <c r="AS34" s="4">
        <f t="shared" si="20"/>
        <v>158.73062606204041</v>
      </c>
      <c r="AT34">
        <v>420.78400838644598</v>
      </c>
      <c r="AU34" s="4">
        <f t="shared" si="21"/>
        <v>167.0784008386446</v>
      </c>
      <c r="AV34">
        <v>382.957414658544</v>
      </c>
      <c r="AW34" s="4">
        <f t="shared" si="22"/>
        <v>163.29574146585441</v>
      </c>
      <c r="AX34">
        <v>378.04462476773602</v>
      </c>
      <c r="AY34" s="4">
        <f t="shared" si="23"/>
        <v>162.80446247677361</v>
      </c>
      <c r="AZ34">
        <v>423.561072250476</v>
      </c>
      <c r="BA34" s="4">
        <f t="shared" si="24"/>
        <v>167.35610722504759</v>
      </c>
      <c r="BB34">
        <v>412.32632516091599</v>
      </c>
      <c r="BC34" s="4">
        <f t="shared" si="25"/>
        <v>166.2326325160916</v>
      </c>
      <c r="BD34">
        <v>416.54716349999399</v>
      </c>
      <c r="BE34" s="4">
        <f t="shared" si="26"/>
        <v>166.6547163499994</v>
      </c>
      <c r="BF34">
        <v>470.25492102592199</v>
      </c>
      <c r="BG34" s="4">
        <f t="shared" si="27"/>
        <v>172.02549210259221</v>
      </c>
      <c r="BH34">
        <v>467.85581450596999</v>
      </c>
      <c r="BI34" s="4">
        <f t="shared" si="28"/>
        <v>171.78558145059699</v>
      </c>
      <c r="BJ34">
        <v>431.41206107518002</v>
      </c>
      <c r="BK34" s="4">
        <f t="shared" si="29"/>
        <v>168.141206107518</v>
      </c>
      <c r="BL34">
        <v>472.84802430791598</v>
      </c>
      <c r="BM34" s="4">
        <f t="shared" si="30"/>
        <v>172.28480243079161</v>
      </c>
      <c r="BN34">
        <v>471.27546487804801</v>
      </c>
      <c r="BO34" s="4">
        <f t="shared" si="31"/>
        <v>172.12754648780481</v>
      </c>
      <c r="BP34">
        <v>459.087694551872</v>
      </c>
      <c r="BQ34" s="4">
        <f t="shared" si="32"/>
        <v>170.90876945518721</v>
      </c>
      <c r="BR34">
        <v>456.64269787736401</v>
      </c>
      <c r="BS34" s="4">
        <f t="shared" si="33"/>
        <v>170.6642697877364</v>
      </c>
      <c r="BT34">
        <v>374.65387607576002</v>
      </c>
      <c r="BU34" s="4">
        <f t="shared" si="34"/>
        <v>162.46538760757602</v>
      </c>
      <c r="BV34">
        <v>389.52648295670002</v>
      </c>
      <c r="BW34" s="4">
        <f t="shared" si="35"/>
        <v>163.95264829567</v>
      </c>
      <c r="BX34">
        <v>388.238035431198</v>
      </c>
      <c r="BY34" s="4">
        <f t="shared" si="36"/>
        <v>163.82380354311979</v>
      </c>
      <c r="BZ34">
        <v>428.47414307160398</v>
      </c>
      <c r="CA34" s="4">
        <f t="shared" si="37"/>
        <v>167.84741430716039</v>
      </c>
      <c r="CB34">
        <v>443.33816067593602</v>
      </c>
      <c r="CC34" s="4">
        <f t="shared" si="38"/>
        <v>169.3338160675936</v>
      </c>
      <c r="CD34">
        <v>438.52915911970803</v>
      </c>
      <c r="CE34" s="4">
        <f t="shared" si="39"/>
        <v>168.8529159119708</v>
      </c>
      <c r="CF34">
        <f t="shared" si="40"/>
        <v>164.22663067214529</v>
      </c>
    </row>
    <row r="35" spans="1:84" x14ac:dyDescent="0.2">
      <c r="A35" s="2">
        <v>42037</v>
      </c>
      <c r="B35">
        <v>2017</v>
      </c>
      <c r="C35">
        <v>9</v>
      </c>
      <c r="D35">
        <v>337.88289985521999</v>
      </c>
      <c r="E35" s="4">
        <f t="shared" si="0"/>
        <v>158.788289985522</v>
      </c>
      <c r="F35">
        <v>318.85082230206001</v>
      </c>
      <c r="G35" s="4">
        <f t="shared" si="1"/>
        <v>156.885082230206</v>
      </c>
      <c r="H35">
        <v>328.5654941885</v>
      </c>
      <c r="I35" s="4">
        <f t="shared" si="2"/>
        <v>157.85654941884999</v>
      </c>
      <c r="J35">
        <v>344.45612447434002</v>
      </c>
      <c r="K35" s="4">
        <f t="shared" si="3"/>
        <v>159.445612447434</v>
      </c>
      <c r="L35">
        <v>322.90999274626</v>
      </c>
      <c r="M35" s="4">
        <f t="shared" si="4"/>
        <v>157.29099927462602</v>
      </c>
      <c r="N35">
        <v>337.81311812144003</v>
      </c>
      <c r="O35" s="4">
        <f t="shared" si="5"/>
        <v>158.781311812144</v>
      </c>
      <c r="P35">
        <v>325.28446679024</v>
      </c>
      <c r="Q35" s="4">
        <f t="shared" si="6"/>
        <v>157.528446679024</v>
      </c>
      <c r="R35">
        <v>344.20587622391997</v>
      </c>
      <c r="S35" s="4">
        <f t="shared" si="7"/>
        <v>159.42058762239199</v>
      </c>
      <c r="T35">
        <v>327.49644472810002</v>
      </c>
      <c r="U35" s="4">
        <f t="shared" si="8"/>
        <v>157.74964447281002</v>
      </c>
      <c r="V35">
        <v>324.26394461270002</v>
      </c>
      <c r="W35" s="4">
        <f t="shared" si="9"/>
        <v>157.42639446127001</v>
      </c>
      <c r="X35">
        <v>331.94498539108002</v>
      </c>
      <c r="Y35" s="4">
        <f t="shared" si="10"/>
        <v>158.194498539108</v>
      </c>
      <c r="Z35">
        <v>302.44016587798001</v>
      </c>
      <c r="AA35" s="4">
        <f t="shared" si="11"/>
        <v>155.244016587798</v>
      </c>
      <c r="AB35">
        <v>285.40112667592001</v>
      </c>
      <c r="AC35" s="4">
        <f t="shared" si="12"/>
        <v>153.54011266759201</v>
      </c>
      <c r="AD35">
        <v>329.62724788214001</v>
      </c>
      <c r="AE35" s="4">
        <f t="shared" si="13"/>
        <v>157.96272478821402</v>
      </c>
      <c r="AF35">
        <v>291.46887276130002</v>
      </c>
      <c r="AG35" s="4">
        <f t="shared" si="14"/>
        <v>154.14688727613</v>
      </c>
      <c r="AH35">
        <v>276.83518195210002</v>
      </c>
      <c r="AI35" s="4">
        <f t="shared" si="15"/>
        <v>152.68351819521001</v>
      </c>
      <c r="AJ35">
        <v>323.83214252507997</v>
      </c>
      <c r="AK35" s="4">
        <f t="shared" si="16"/>
        <v>157.383214252508</v>
      </c>
      <c r="AL35">
        <v>285.48947397182002</v>
      </c>
      <c r="AM35" s="4">
        <f t="shared" si="17"/>
        <v>153.54894739718202</v>
      </c>
      <c r="AN35">
        <v>273.96118496245998</v>
      </c>
      <c r="AO35" s="4">
        <f t="shared" si="18"/>
        <v>152.396118496246</v>
      </c>
      <c r="AP35">
        <v>322.33614751243999</v>
      </c>
      <c r="AQ35" s="4">
        <f t="shared" si="19"/>
        <v>157.233614751244</v>
      </c>
      <c r="AR35">
        <v>285.31588512780002</v>
      </c>
      <c r="AS35" s="4">
        <f t="shared" si="20"/>
        <v>153.53158851277999</v>
      </c>
      <c r="AT35">
        <v>311.55261261741998</v>
      </c>
      <c r="AU35" s="4">
        <f t="shared" si="21"/>
        <v>156.155261261742</v>
      </c>
      <c r="AV35">
        <v>295.79591029704</v>
      </c>
      <c r="AW35" s="4">
        <f t="shared" si="22"/>
        <v>154.57959102970401</v>
      </c>
      <c r="AX35">
        <v>283.56532362412003</v>
      </c>
      <c r="AY35" s="4">
        <f t="shared" si="23"/>
        <v>153.356532362412</v>
      </c>
      <c r="AZ35">
        <v>293.63075415022001</v>
      </c>
      <c r="BA35" s="4">
        <f t="shared" si="24"/>
        <v>154.363075415022</v>
      </c>
      <c r="BB35">
        <v>341.75521164553999</v>
      </c>
      <c r="BC35" s="4">
        <f t="shared" si="25"/>
        <v>159.175521164554</v>
      </c>
      <c r="BD35">
        <v>346.67401629059998</v>
      </c>
      <c r="BE35" s="4">
        <f t="shared" si="26"/>
        <v>159.66740162906001</v>
      </c>
      <c r="BF35">
        <v>357.34089026534002</v>
      </c>
      <c r="BG35" s="4">
        <f t="shared" si="27"/>
        <v>160.73408902653401</v>
      </c>
      <c r="BH35">
        <v>347.93707138091997</v>
      </c>
      <c r="BI35" s="4">
        <f t="shared" si="28"/>
        <v>159.793707138092</v>
      </c>
      <c r="BJ35">
        <v>340.87867879866002</v>
      </c>
      <c r="BK35" s="4">
        <f t="shared" si="29"/>
        <v>159.087867879866</v>
      </c>
      <c r="BL35">
        <v>345.91129453403988</v>
      </c>
      <c r="BM35" s="4">
        <f t="shared" si="30"/>
        <v>159.59112945340399</v>
      </c>
      <c r="BN35">
        <v>352.53162778049989</v>
      </c>
      <c r="BO35" s="4">
        <f t="shared" si="31"/>
        <v>160.25316277804998</v>
      </c>
      <c r="BP35">
        <v>342.42361839588</v>
      </c>
      <c r="BQ35" s="4">
        <f t="shared" si="32"/>
        <v>159.242361839588</v>
      </c>
      <c r="BR35">
        <v>324.83209916547997</v>
      </c>
      <c r="BS35" s="4">
        <f t="shared" si="33"/>
        <v>157.48320991654799</v>
      </c>
      <c r="BT35">
        <v>322.32665538868002</v>
      </c>
      <c r="BU35" s="4">
        <f t="shared" si="34"/>
        <v>157.23266553886799</v>
      </c>
      <c r="BV35">
        <v>333.99648239011998</v>
      </c>
      <c r="BW35" s="4">
        <f t="shared" si="35"/>
        <v>158.39964823901201</v>
      </c>
      <c r="BX35">
        <v>298.5609635079</v>
      </c>
      <c r="BY35" s="4">
        <f t="shared" si="36"/>
        <v>154.85609635079001</v>
      </c>
      <c r="BZ35">
        <v>321.32542177238003</v>
      </c>
      <c r="CA35" s="4">
        <f t="shared" si="37"/>
        <v>157.13254217723801</v>
      </c>
      <c r="CB35">
        <v>334.27267714376001</v>
      </c>
      <c r="CC35" s="4">
        <f t="shared" si="38"/>
        <v>158.427267714376</v>
      </c>
      <c r="CD35">
        <v>331.42214615995999</v>
      </c>
      <c r="CE35" s="4">
        <f t="shared" si="39"/>
        <v>158.14221461599601</v>
      </c>
      <c r="CF35">
        <f t="shared" si="40"/>
        <v>157.18239380239433</v>
      </c>
    </row>
    <row r="36" spans="1:84" x14ac:dyDescent="0.2">
      <c r="A36" s="2">
        <v>42038</v>
      </c>
      <c r="B36">
        <v>2017</v>
      </c>
      <c r="C36">
        <v>10</v>
      </c>
      <c r="D36">
        <v>150.13736039913601</v>
      </c>
      <c r="E36" s="4">
        <f t="shared" si="0"/>
        <v>114.07139721894393</v>
      </c>
      <c r="F36">
        <v>127.69850455176</v>
      </c>
      <c r="G36" s="4">
        <f t="shared" si="1"/>
        <v>101.60745164815062</v>
      </c>
      <c r="H36">
        <v>140.85097542717</v>
      </c>
      <c r="I36" s="4">
        <f t="shared" si="2"/>
        <v>109.1085797811136</v>
      </c>
      <c r="J36">
        <v>148.84466361566399</v>
      </c>
      <c r="K36" s="4">
        <f t="shared" si="3"/>
        <v>113.39708939668773</v>
      </c>
      <c r="L36">
        <v>165.325949021784</v>
      </c>
      <c r="M36" s="4">
        <f t="shared" si="4"/>
        <v>121.59367794985836</v>
      </c>
      <c r="N36">
        <v>143.589323051604</v>
      </c>
      <c r="O36" s="4">
        <f t="shared" si="5"/>
        <v>110.60069314053537</v>
      </c>
      <c r="P36">
        <v>129.66239403284999</v>
      </c>
      <c r="Q36" s="4">
        <f t="shared" si="6"/>
        <v>102.76265575072189</v>
      </c>
      <c r="R36">
        <v>141.40505428905001</v>
      </c>
      <c r="S36" s="4">
        <f t="shared" si="7"/>
        <v>109.41243128346731</v>
      </c>
      <c r="T36">
        <v>135.60225984383399</v>
      </c>
      <c r="U36" s="4">
        <f t="shared" si="8"/>
        <v>106.1815032442265</v>
      </c>
      <c r="V36">
        <v>123.46393071433199</v>
      </c>
      <c r="W36" s="4">
        <f t="shared" si="9"/>
        <v>99.074583214438604</v>
      </c>
      <c r="X36">
        <v>136.905762446214</v>
      </c>
      <c r="Y36" s="4">
        <f t="shared" si="10"/>
        <v>106.91666198064732</v>
      </c>
      <c r="Z36">
        <v>121.05932064034801</v>
      </c>
      <c r="AA36" s="4">
        <f t="shared" si="11"/>
        <v>97.610746058103857</v>
      </c>
      <c r="AB36">
        <v>107.36926852383</v>
      </c>
      <c r="AC36" s="4">
        <f t="shared" si="12"/>
        <v>88.924212806482302</v>
      </c>
      <c r="AD36">
        <v>135.35394069358199</v>
      </c>
      <c r="AE36" s="4">
        <f t="shared" si="13"/>
        <v>106.04083787553125</v>
      </c>
      <c r="AF36">
        <v>112.991878061268</v>
      </c>
      <c r="AG36" s="4">
        <f t="shared" si="14"/>
        <v>92.564414848768067</v>
      </c>
      <c r="AH36">
        <v>99.406711607754005</v>
      </c>
      <c r="AI36" s="4">
        <f t="shared" si="15"/>
        <v>83.596000707486525</v>
      </c>
      <c r="AJ36">
        <v>123.85718018802601</v>
      </c>
      <c r="AK36" s="4">
        <f t="shared" si="16"/>
        <v>99.312218453419376</v>
      </c>
      <c r="AL36">
        <v>115.525517501652</v>
      </c>
      <c r="AM36" s="4">
        <f t="shared" si="17"/>
        <v>94.171685191212802</v>
      </c>
      <c r="AN36">
        <v>99.962314806864001</v>
      </c>
      <c r="AO36" s="4">
        <f t="shared" si="18"/>
        <v>83.974371796389462</v>
      </c>
      <c r="AP36">
        <v>119.937873056196</v>
      </c>
      <c r="AQ36" s="4">
        <f t="shared" si="19"/>
        <v>96.921723627005292</v>
      </c>
      <c r="AR36">
        <v>122.052733804116</v>
      </c>
      <c r="AS36" s="4">
        <f t="shared" si="20"/>
        <v>98.21774207762256</v>
      </c>
      <c r="AT36">
        <v>108.238637769102</v>
      </c>
      <c r="AU36" s="4">
        <f t="shared" si="21"/>
        <v>89.493673439324596</v>
      </c>
      <c r="AV36">
        <v>105.410843559342</v>
      </c>
      <c r="AW36" s="4">
        <f t="shared" si="22"/>
        <v>87.632530055514678</v>
      </c>
      <c r="AX36">
        <v>101.544032670498</v>
      </c>
      <c r="AY36" s="4">
        <f t="shared" si="23"/>
        <v>85.046127756918537</v>
      </c>
      <c r="AZ36">
        <v>98.839188729978005</v>
      </c>
      <c r="BA36" s="4">
        <f t="shared" si="24"/>
        <v>83.208492363897662</v>
      </c>
      <c r="BB36">
        <v>112.287009607404</v>
      </c>
      <c r="BC36" s="4">
        <f t="shared" si="25"/>
        <v>92.113613564886819</v>
      </c>
      <c r="BD36">
        <v>113.95728590212801</v>
      </c>
      <c r="BE36" s="4">
        <f t="shared" si="26"/>
        <v>93.179265085841067</v>
      </c>
      <c r="BF36">
        <v>107.969420392974</v>
      </c>
      <c r="BG36" s="4">
        <f t="shared" si="27"/>
        <v>89.317587208982403</v>
      </c>
      <c r="BH36">
        <v>105.137430212748</v>
      </c>
      <c r="BI36" s="4">
        <f t="shared" si="28"/>
        <v>87.451223441963279</v>
      </c>
      <c r="BJ36">
        <v>111.19539331474201</v>
      </c>
      <c r="BK36" s="4">
        <f t="shared" si="29"/>
        <v>91.412328523669728</v>
      </c>
      <c r="BL36">
        <v>110.214854438046</v>
      </c>
      <c r="BM36" s="4">
        <f t="shared" si="30"/>
        <v>90.779151815966529</v>
      </c>
      <c r="BN36">
        <v>108.776752042962</v>
      </c>
      <c r="BO36" s="4">
        <f t="shared" si="31"/>
        <v>89.844941186936339</v>
      </c>
      <c r="BP36">
        <v>110.335485710664</v>
      </c>
      <c r="BQ36" s="4">
        <f t="shared" si="32"/>
        <v>90.857214659450975</v>
      </c>
      <c r="BR36">
        <v>109.795782349218</v>
      </c>
      <c r="BS36" s="4">
        <f t="shared" si="33"/>
        <v>90.507600234535033</v>
      </c>
      <c r="BT36">
        <v>122.457503110044</v>
      </c>
      <c r="BU36" s="4">
        <f t="shared" si="34"/>
        <v>98.464159001329705</v>
      </c>
      <c r="BV36">
        <v>123.2787212889</v>
      </c>
      <c r="BW36" s="4">
        <f t="shared" si="35"/>
        <v>98.962492292697945</v>
      </c>
      <c r="BX36">
        <v>112.993380084162</v>
      </c>
      <c r="BY36" s="4">
        <f t="shared" si="36"/>
        <v>92.565373775611761</v>
      </c>
      <c r="BZ36">
        <v>103.839587365884</v>
      </c>
      <c r="CA36" s="4">
        <f t="shared" si="37"/>
        <v>86.587331518976711</v>
      </c>
      <c r="CB36">
        <v>102.045944549244</v>
      </c>
      <c r="CC36" s="4">
        <f t="shared" si="38"/>
        <v>85.384544870928181</v>
      </c>
      <c r="CD36">
        <v>103.437938017302</v>
      </c>
      <c r="CE36" s="4">
        <f t="shared" si="39"/>
        <v>86.31888678326807</v>
      </c>
      <c r="CF36">
        <f t="shared" si="40"/>
        <v>96.603864349183354</v>
      </c>
    </row>
    <row r="37" spans="1:84" x14ac:dyDescent="0.2">
      <c r="A37" s="2">
        <v>42039</v>
      </c>
      <c r="B37">
        <v>2017</v>
      </c>
      <c r="C37">
        <v>11</v>
      </c>
      <c r="D37">
        <v>360.04247027870298</v>
      </c>
      <c r="E37" s="4">
        <f t="shared" si="0"/>
        <v>161.00424702787029</v>
      </c>
      <c r="F37">
        <v>322.77284837869598</v>
      </c>
      <c r="G37" s="4">
        <f t="shared" si="1"/>
        <v>157.27728483786962</v>
      </c>
      <c r="H37">
        <v>390.53499350514198</v>
      </c>
      <c r="I37" s="4">
        <f t="shared" si="2"/>
        <v>164.05349935051419</v>
      </c>
      <c r="J37">
        <v>326.71245401603699</v>
      </c>
      <c r="K37" s="4">
        <f t="shared" si="3"/>
        <v>157.6712454016037</v>
      </c>
      <c r="L37">
        <v>516.44479678147695</v>
      </c>
      <c r="M37" s="4">
        <f t="shared" si="4"/>
        <v>176.64447967814769</v>
      </c>
      <c r="N37">
        <v>307.830132318388</v>
      </c>
      <c r="O37" s="4">
        <f t="shared" si="5"/>
        <v>155.78301323183879</v>
      </c>
      <c r="P37">
        <v>277.785220137593</v>
      </c>
      <c r="Q37" s="4">
        <f t="shared" si="6"/>
        <v>152.7785220137593</v>
      </c>
      <c r="R37">
        <v>297.15804555127698</v>
      </c>
      <c r="S37" s="4">
        <f t="shared" si="7"/>
        <v>154.7158045551277</v>
      </c>
      <c r="T37">
        <v>298.69418577910699</v>
      </c>
      <c r="U37" s="4">
        <f t="shared" si="8"/>
        <v>154.86941857791069</v>
      </c>
      <c r="V37">
        <v>275.82512558449901</v>
      </c>
      <c r="W37" s="4">
        <f t="shared" si="9"/>
        <v>152.58251255844991</v>
      </c>
      <c r="X37">
        <v>279.68801396089998</v>
      </c>
      <c r="Y37" s="4">
        <f t="shared" si="10"/>
        <v>152.96880139608999</v>
      </c>
      <c r="Z37">
        <v>284.56598133223702</v>
      </c>
      <c r="AA37" s="4">
        <f t="shared" si="11"/>
        <v>153.45659813322371</v>
      </c>
      <c r="AB37">
        <v>285.45475485476197</v>
      </c>
      <c r="AC37" s="4">
        <f t="shared" si="12"/>
        <v>153.5454754854762</v>
      </c>
      <c r="AD37">
        <v>291.95465864561902</v>
      </c>
      <c r="AE37" s="4">
        <f t="shared" si="13"/>
        <v>154.1954658645619</v>
      </c>
      <c r="AF37">
        <v>258.90579949384198</v>
      </c>
      <c r="AG37" s="4">
        <f t="shared" si="14"/>
        <v>150.8905799493842</v>
      </c>
      <c r="AH37">
        <v>199.095169944047</v>
      </c>
      <c r="AI37" s="4">
        <f t="shared" si="15"/>
        <v>135.67295123196868</v>
      </c>
      <c r="AJ37">
        <v>298.63951187377398</v>
      </c>
      <c r="AK37" s="4">
        <f t="shared" si="16"/>
        <v>154.86395118737741</v>
      </c>
      <c r="AL37">
        <v>267.98488759057</v>
      </c>
      <c r="AM37" s="4">
        <f t="shared" si="17"/>
        <v>151.79848875905699</v>
      </c>
      <c r="AN37">
        <v>189.23580454181601</v>
      </c>
      <c r="AO37" s="4">
        <f t="shared" si="18"/>
        <v>131.93950098887458</v>
      </c>
      <c r="AP37">
        <v>296.93914449759802</v>
      </c>
      <c r="AQ37" s="4">
        <f t="shared" si="19"/>
        <v>154.6939144497598</v>
      </c>
      <c r="AR37">
        <v>266.50665233427202</v>
      </c>
      <c r="AS37" s="4">
        <f t="shared" si="20"/>
        <v>151.65066523342722</v>
      </c>
      <c r="AT37">
        <v>174.396682917855</v>
      </c>
      <c r="AU37" s="4">
        <f t="shared" si="21"/>
        <v>125.73395809745362</v>
      </c>
      <c r="AV37">
        <v>185.79000243243399</v>
      </c>
      <c r="AW37" s="4">
        <f t="shared" si="22"/>
        <v>130.56132242628385</v>
      </c>
      <c r="AX37">
        <v>215.05210292290499</v>
      </c>
      <c r="AY37" s="4">
        <f t="shared" si="23"/>
        <v>141.05625176840306</v>
      </c>
      <c r="AZ37">
        <v>198.131315584248</v>
      </c>
      <c r="BA37" s="4">
        <f t="shared" si="24"/>
        <v>135.32168644001621</v>
      </c>
      <c r="BB37">
        <v>219.640951596457</v>
      </c>
      <c r="BC37" s="4">
        <f t="shared" si="25"/>
        <v>142.45351540734154</v>
      </c>
      <c r="BD37">
        <v>234.628116489207</v>
      </c>
      <c r="BE37" s="4">
        <f t="shared" si="26"/>
        <v>146.54755161357036</v>
      </c>
      <c r="BF37">
        <v>208.18562622771299</v>
      </c>
      <c r="BG37" s="4">
        <f t="shared" si="27"/>
        <v>138.83961827919296</v>
      </c>
      <c r="BH37">
        <v>202.12193262011601</v>
      </c>
      <c r="BI37" s="4">
        <f t="shared" si="28"/>
        <v>136.75669158637086</v>
      </c>
      <c r="BJ37">
        <v>248.44389115443599</v>
      </c>
      <c r="BK37" s="4">
        <f t="shared" si="29"/>
        <v>149.68490387130439</v>
      </c>
      <c r="BL37">
        <v>214.41455439000299</v>
      </c>
      <c r="BM37" s="4">
        <f t="shared" si="30"/>
        <v>140.85679257518132</v>
      </c>
      <c r="BN37">
        <v>232.988848084437</v>
      </c>
      <c r="BO37" s="4">
        <f t="shared" si="31"/>
        <v>146.13476275369641</v>
      </c>
      <c r="BP37">
        <v>202.547146080235</v>
      </c>
      <c r="BQ37" s="4">
        <f t="shared" si="32"/>
        <v>136.90659186383809</v>
      </c>
      <c r="BR37">
        <v>188.47050998143001</v>
      </c>
      <c r="BS37" s="4">
        <f t="shared" si="33"/>
        <v>131.6366969691735</v>
      </c>
      <c r="BT37">
        <v>257.73055252769097</v>
      </c>
      <c r="BU37" s="4">
        <f t="shared" si="34"/>
        <v>150.7730552527691</v>
      </c>
      <c r="BV37">
        <v>274.38458230422702</v>
      </c>
      <c r="BW37" s="4">
        <f t="shared" si="35"/>
        <v>152.4384582304227</v>
      </c>
      <c r="BX37">
        <v>265.24120991523301</v>
      </c>
      <c r="BY37" s="4">
        <f t="shared" si="36"/>
        <v>151.52412099152332</v>
      </c>
      <c r="BZ37">
        <v>218.92200957641401</v>
      </c>
      <c r="CA37" s="4">
        <f t="shared" si="37"/>
        <v>142.23905553325318</v>
      </c>
      <c r="CB37">
        <v>204.460248323222</v>
      </c>
      <c r="CC37" s="4">
        <f t="shared" si="38"/>
        <v>137.57385929219225</v>
      </c>
      <c r="CD37">
        <v>243.74268067355101</v>
      </c>
      <c r="CE37" s="4">
        <f t="shared" si="39"/>
        <v>148.68588966246514</v>
      </c>
      <c r="CF37">
        <f t="shared" si="40"/>
        <v>148.24465545465787</v>
      </c>
    </row>
    <row r="38" spans="1:84" x14ac:dyDescent="0.2">
      <c r="A38" s="2">
        <v>42040</v>
      </c>
      <c r="B38">
        <v>2017</v>
      </c>
      <c r="C38">
        <v>12</v>
      </c>
      <c r="D38">
        <v>9.2750540136729995</v>
      </c>
      <c r="E38" s="4">
        <f t="shared" si="0"/>
        <v>9.1374114105425175</v>
      </c>
      <c r="F38">
        <v>9.6814505842810004</v>
      </c>
      <c r="G38" s="4">
        <f t="shared" si="1"/>
        <v>9.5314818076156005</v>
      </c>
      <c r="H38">
        <v>13.187787247663</v>
      </c>
      <c r="I38" s="4">
        <f t="shared" si="2"/>
        <v>12.909518875679604</v>
      </c>
      <c r="J38">
        <v>11.482151260426001</v>
      </c>
      <c r="K38" s="4">
        <f t="shared" si="3"/>
        <v>11.271207584318317</v>
      </c>
      <c r="L38">
        <v>15.060608615059</v>
      </c>
      <c r="M38" s="4">
        <f t="shared" si="4"/>
        <v>14.697693524089416</v>
      </c>
      <c r="N38">
        <v>8.6191117032090006</v>
      </c>
      <c r="O38" s="4">
        <f t="shared" si="5"/>
        <v>8.5002491647251706</v>
      </c>
      <c r="P38">
        <v>3.9290651414700002</v>
      </c>
      <c r="Q38" s="4">
        <f t="shared" si="6"/>
        <v>3.9043650568525368</v>
      </c>
      <c r="R38">
        <v>7.5166809299540001</v>
      </c>
      <c r="S38" s="4">
        <f t="shared" si="7"/>
        <v>7.4262801424296248</v>
      </c>
      <c r="T38">
        <v>6.4674902545189994</v>
      </c>
      <c r="U38" s="4">
        <f t="shared" si="8"/>
        <v>6.4005647662113221</v>
      </c>
      <c r="V38">
        <v>4.4678469229940001</v>
      </c>
      <c r="W38" s="4">
        <f t="shared" si="9"/>
        <v>4.435908273190309</v>
      </c>
      <c r="X38">
        <v>9.6934157714099989</v>
      </c>
      <c r="Y38" s="4">
        <f t="shared" si="10"/>
        <v>9.5430760765021265</v>
      </c>
      <c r="Z38">
        <v>7.6041392506029997</v>
      </c>
      <c r="AA38" s="4">
        <f t="shared" si="11"/>
        <v>7.5116225566149026</v>
      </c>
      <c r="AB38">
        <v>4.3073365518819999</v>
      </c>
      <c r="AC38" s="4">
        <f t="shared" si="12"/>
        <v>4.277651514808114</v>
      </c>
      <c r="AD38">
        <v>10.176853499651999</v>
      </c>
      <c r="AE38" s="4">
        <f t="shared" si="13"/>
        <v>10.011144144206593</v>
      </c>
      <c r="AF38">
        <v>7.2047945776309996</v>
      </c>
      <c r="AG38" s="4">
        <f t="shared" si="14"/>
        <v>7.1217400737816225</v>
      </c>
      <c r="AH38">
        <v>5.0883682471649996</v>
      </c>
      <c r="AI38" s="4">
        <f t="shared" si="15"/>
        <v>5.0469418608949894</v>
      </c>
      <c r="AJ38">
        <v>7.0896683798709992</v>
      </c>
      <c r="AK38" s="4">
        <f t="shared" si="16"/>
        <v>7.0092469434925313</v>
      </c>
      <c r="AL38">
        <v>6.0304405814869986</v>
      </c>
      <c r="AM38" s="4">
        <f t="shared" si="17"/>
        <v>5.9722546397160468</v>
      </c>
      <c r="AN38">
        <v>5.0570905669339998</v>
      </c>
      <c r="AO38" s="4">
        <f t="shared" si="18"/>
        <v>5.0161719029305232</v>
      </c>
      <c r="AP38">
        <v>8.7431456008679991</v>
      </c>
      <c r="AQ38" s="4">
        <f t="shared" si="19"/>
        <v>8.6208374488712352</v>
      </c>
      <c r="AR38">
        <v>4.7168303603609996</v>
      </c>
      <c r="AS38" s="4">
        <f t="shared" si="20"/>
        <v>4.6812327785235226</v>
      </c>
      <c r="AT38">
        <v>0.72672007576700004</v>
      </c>
      <c r="AU38" s="4">
        <f t="shared" si="21"/>
        <v>0.72587508045736349</v>
      </c>
      <c r="AV38">
        <v>2.2214744217960001</v>
      </c>
      <c r="AW38" s="4">
        <f t="shared" si="22"/>
        <v>2.21357850402529</v>
      </c>
      <c r="AX38">
        <v>1.9968834502049999</v>
      </c>
      <c r="AY38" s="4">
        <f t="shared" si="23"/>
        <v>1.9905033805830759</v>
      </c>
      <c r="AZ38">
        <v>1.686511854713</v>
      </c>
      <c r="BA38" s="4">
        <f t="shared" si="24"/>
        <v>1.6819609391352601</v>
      </c>
      <c r="BB38">
        <v>3.4498406144159999</v>
      </c>
      <c r="BC38" s="4">
        <f t="shared" si="25"/>
        <v>3.430798373992201</v>
      </c>
      <c r="BD38">
        <v>3.7328123177029999</v>
      </c>
      <c r="BE38" s="4">
        <f t="shared" si="26"/>
        <v>3.7105180972242873</v>
      </c>
      <c r="BF38">
        <v>3.963236505312</v>
      </c>
      <c r="BG38" s="4">
        <f t="shared" si="27"/>
        <v>3.9381049155567398</v>
      </c>
      <c r="BH38">
        <v>2.9167411106190002</v>
      </c>
      <c r="BI38" s="4">
        <f t="shared" si="28"/>
        <v>2.9031293046888003</v>
      </c>
      <c r="BJ38">
        <v>1.7380124509929999</v>
      </c>
      <c r="BK38" s="4">
        <f t="shared" si="29"/>
        <v>1.7331793513453093</v>
      </c>
      <c r="BL38">
        <v>1.3771641267720001</v>
      </c>
      <c r="BM38" s="4">
        <f t="shared" si="30"/>
        <v>1.3741295971206919</v>
      </c>
      <c r="BN38">
        <v>2.8094827704090002</v>
      </c>
      <c r="BO38" s="4">
        <f t="shared" si="31"/>
        <v>2.7968536609094405</v>
      </c>
      <c r="BP38">
        <v>2.3084038487299998</v>
      </c>
      <c r="BQ38" s="4">
        <f t="shared" si="32"/>
        <v>2.2998778834038696</v>
      </c>
      <c r="BR38">
        <v>0</v>
      </c>
      <c r="BS38" s="4">
        <f t="shared" si="33"/>
        <v>0</v>
      </c>
      <c r="BT38">
        <v>4.1775306652520001</v>
      </c>
      <c r="BU38" s="4">
        <f t="shared" si="34"/>
        <v>4.1496078453174068</v>
      </c>
      <c r="BV38">
        <v>2.224460838418</v>
      </c>
      <c r="BW38" s="4">
        <f t="shared" si="35"/>
        <v>2.2165436767833517</v>
      </c>
      <c r="BX38">
        <v>1.558344603319</v>
      </c>
      <c r="BY38" s="4">
        <f t="shared" si="36"/>
        <v>1.5544591026746906</v>
      </c>
      <c r="BZ38">
        <v>0.25885693400699999</v>
      </c>
      <c r="CA38" s="4">
        <f t="shared" si="37"/>
        <v>0.25874972294734638</v>
      </c>
      <c r="CB38">
        <v>4.7114363974999997E-2</v>
      </c>
      <c r="CC38" s="4">
        <f t="shared" si="38"/>
        <v>4.7110812353731567E-2</v>
      </c>
      <c r="CD38">
        <v>5.9589398749999986E-3</v>
      </c>
      <c r="CE38" s="4">
        <f t="shared" si="39"/>
        <v>5.9588830606569047E-3</v>
      </c>
      <c r="CF38">
        <f t="shared" si="40"/>
        <v>5.0330520208775784</v>
      </c>
    </row>
    <row r="39" spans="1:84" x14ac:dyDescent="0.2">
      <c r="A39" s="2">
        <v>42041</v>
      </c>
      <c r="B39">
        <v>2018</v>
      </c>
      <c r="C39">
        <v>1</v>
      </c>
      <c r="D39">
        <v>154.796910466875</v>
      </c>
      <c r="E39" s="4">
        <f t="shared" si="0"/>
        <v>116.45757688273146</v>
      </c>
      <c r="F39">
        <v>155.743156028025</v>
      </c>
      <c r="G39" s="4">
        <f t="shared" si="1"/>
        <v>116.93366698871343</v>
      </c>
      <c r="H39">
        <v>198.09025417935001</v>
      </c>
      <c r="I39" s="4">
        <f t="shared" si="2"/>
        <v>135.30665609800681</v>
      </c>
      <c r="J39">
        <v>149.924557551015</v>
      </c>
      <c r="K39" s="4">
        <f t="shared" si="3"/>
        <v>113.96076082002682</v>
      </c>
      <c r="L39">
        <v>212.1303314553</v>
      </c>
      <c r="M39" s="4">
        <f t="shared" si="4"/>
        <v>140.13148741796329</v>
      </c>
      <c r="N39">
        <v>152.92205083045499</v>
      </c>
      <c r="O39" s="4">
        <f t="shared" si="5"/>
        <v>115.50580502214737</v>
      </c>
      <c r="P39">
        <v>57.883642988324993</v>
      </c>
      <c r="Q39" s="4">
        <f t="shared" si="6"/>
        <v>52.522817187365213</v>
      </c>
      <c r="R39">
        <v>117.088685386485</v>
      </c>
      <c r="S39" s="4">
        <f t="shared" si="7"/>
        <v>95.153068993628565</v>
      </c>
      <c r="T39">
        <v>84.948346556250002</v>
      </c>
      <c r="U39" s="4">
        <f t="shared" si="8"/>
        <v>73.402392024024792</v>
      </c>
      <c r="V39">
        <v>50.60233133949</v>
      </c>
      <c r="W39" s="4">
        <f t="shared" si="9"/>
        <v>46.505377840303552</v>
      </c>
      <c r="X39">
        <v>107.84102746723499</v>
      </c>
      <c r="Y39" s="4">
        <f t="shared" si="10"/>
        <v>89.23352793893271</v>
      </c>
      <c r="Z39">
        <v>57.237589901084988</v>
      </c>
      <c r="AA39" s="4">
        <f t="shared" si="11"/>
        <v>51.995763184789325</v>
      </c>
      <c r="AB39">
        <v>18.151058303505</v>
      </c>
      <c r="AC39" s="4">
        <f t="shared" si="12"/>
        <v>17.623920835445421</v>
      </c>
      <c r="AD39">
        <v>110.119491699975</v>
      </c>
      <c r="AE39" s="4">
        <f t="shared" si="13"/>
        <v>90.717407776357618</v>
      </c>
      <c r="AF39">
        <v>52.224338296260001</v>
      </c>
      <c r="AG39" s="4">
        <f t="shared" si="14"/>
        <v>47.860527879488465</v>
      </c>
      <c r="AH39">
        <v>12.816129366449999</v>
      </c>
      <c r="AI39" s="4">
        <f t="shared" si="15"/>
        <v>12.553324291349869</v>
      </c>
      <c r="AJ39">
        <v>114.68127300083999</v>
      </c>
      <c r="AK39" s="4">
        <f t="shared" si="16"/>
        <v>93.638401997490888</v>
      </c>
      <c r="AL39">
        <v>77.925555153704991</v>
      </c>
      <c r="AM39" s="4">
        <f t="shared" si="17"/>
        <v>68.209727720084004</v>
      </c>
      <c r="AN39">
        <v>39.609402961545001</v>
      </c>
      <c r="AO39" s="4">
        <f t="shared" si="18"/>
        <v>37.099155276792928</v>
      </c>
      <c r="AP39">
        <v>111.29617389205499</v>
      </c>
      <c r="AQ39" s="4">
        <f t="shared" si="19"/>
        <v>91.477232575238133</v>
      </c>
      <c r="AR39">
        <v>88.22965466318999</v>
      </c>
      <c r="AS39" s="4">
        <f t="shared" si="20"/>
        <v>75.774499524012782</v>
      </c>
      <c r="AT39">
        <v>20.114060157914999</v>
      </c>
      <c r="AU39" s="4">
        <f t="shared" si="21"/>
        <v>19.466739492257041</v>
      </c>
      <c r="AV39">
        <v>19.624144262310001</v>
      </c>
      <c r="AW39" s="4">
        <f t="shared" si="22"/>
        <v>19.007973001465274</v>
      </c>
      <c r="AX39">
        <v>30.123133740179991</v>
      </c>
      <c r="AY39" s="4">
        <f t="shared" si="23"/>
        <v>28.671288642053959</v>
      </c>
      <c r="AZ39">
        <v>25.760481632775001</v>
      </c>
      <c r="BA39" s="4">
        <f t="shared" si="24"/>
        <v>24.698717770450941</v>
      </c>
      <c r="BB39">
        <v>29.779312919715</v>
      </c>
      <c r="BC39" s="4">
        <f t="shared" si="25"/>
        <v>28.36042095496251</v>
      </c>
      <c r="BD39">
        <v>27.240100918995001</v>
      </c>
      <c r="BE39" s="4">
        <f t="shared" si="26"/>
        <v>26.052863962071747</v>
      </c>
      <c r="BF39">
        <v>23.906182074255</v>
      </c>
      <c r="BG39" s="4">
        <f t="shared" si="27"/>
        <v>22.991773208067112</v>
      </c>
      <c r="BH39">
        <v>20.156472657765001</v>
      </c>
      <c r="BI39" s="4">
        <f t="shared" si="28"/>
        <v>19.506419233759836</v>
      </c>
      <c r="BJ39">
        <v>27.919894124984999</v>
      </c>
      <c r="BK39" s="4">
        <f t="shared" si="29"/>
        <v>26.672661344264405</v>
      </c>
      <c r="BL39">
        <v>23.655993188295</v>
      </c>
      <c r="BM39" s="4">
        <f t="shared" si="30"/>
        <v>22.760623566335543</v>
      </c>
      <c r="BN39">
        <v>25.463840189445001</v>
      </c>
      <c r="BO39" s="4">
        <f t="shared" si="31"/>
        <v>24.426388737935248</v>
      </c>
      <c r="BP39">
        <v>27.972356331389999</v>
      </c>
      <c r="BQ39" s="4">
        <f t="shared" si="32"/>
        <v>26.720431981421591</v>
      </c>
      <c r="BR39">
        <v>16.516960361039999</v>
      </c>
      <c r="BS39" s="4">
        <f t="shared" si="33"/>
        <v>16.080464393730932</v>
      </c>
      <c r="BT39">
        <v>39.907926482729998</v>
      </c>
      <c r="BU39" s="4">
        <f t="shared" si="34"/>
        <v>37.359698328888427</v>
      </c>
      <c r="BV39">
        <v>44.313485724539987</v>
      </c>
      <c r="BW39" s="4">
        <f t="shared" si="35"/>
        <v>41.171589697245572</v>
      </c>
      <c r="BX39">
        <v>17.793318966899999</v>
      </c>
      <c r="BY39" s="4">
        <f t="shared" si="36"/>
        <v>17.286755447127447</v>
      </c>
      <c r="BZ39">
        <v>17.011098021900001</v>
      </c>
      <c r="CA39" s="4">
        <f t="shared" si="37"/>
        <v>16.548094092442899</v>
      </c>
      <c r="CB39">
        <v>16.262214137985001</v>
      </c>
      <c r="CC39" s="4">
        <f t="shared" si="38"/>
        <v>15.839078764113516</v>
      </c>
      <c r="CD39">
        <v>21.961176153764999</v>
      </c>
      <c r="CE39" s="4">
        <f t="shared" si="39"/>
        <v>21.189506940874285</v>
      </c>
      <c r="CF39">
        <f t="shared" si="40"/>
        <v>54.394058905127494</v>
      </c>
    </row>
    <row r="40" spans="1:84" x14ac:dyDescent="0.2">
      <c r="A40" s="2">
        <v>42042</v>
      </c>
      <c r="B40">
        <v>2018</v>
      </c>
      <c r="C40">
        <v>2</v>
      </c>
      <c r="D40">
        <v>4.3240784338079994</v>
      </c>
      <c r="E40" s="4">
        <f t="shared" si="0"/>
        <v>4.2941621869252424</v>
      </c>
      <c r="F40">
        <v>4.6888418828159999</v>
      </c>
      <c r="G40" s="4">
        <f t="shared" si="1"/>
        <v>4.6536655016927204</v>
      </c>
      <c r="H40">
        <v>5.753076467544</v>
      </c>
      <c r="I40" s="4">
        <f t="shared" si="2"/>
        <v>5.7001198453977455</v>
      </c>
      <c r="J40">
        <v>3.7537751537999999</v>
      </c>
      <c r="K40" s="4">
        <f t="shared" si="3"/>
        <v>3.7312298291515416</v>
      </c>
      <c r="L40">
        <v>6.1113105018000002</v>
      </c>
      <c r="M40" s="4">
        <f t="shared" si="4"/>
        <v>6.0515535161209426</v>
      </c>
      <c r="N40">
        <v>4.1507252141039999</v>
      </c>
      <c r="O40" s="4">
        <f t="shared" si="5"/>
        <v>4.123159582419202</v>
      </c>
      <c r="P40">
        <v>0</v>
      </c>
      <c r="Q40" s="4">
        <f t="shared" si="6"/>
        <v>0</v>
      </c>
      <c r="R40">
        <v>2.8049390712000002</v>
      </c>
      <c r="S40" s="4">
        <f t="shared" si="7"/>
        <v>2.7923507780909693</v>
      </c>
      <c r="T40">
        <v>2.4812278575839999</v>
      </c>
      <c r="U40" s="4">
        <f t="shared" si="8"/>
        <v>2.4713774708939988</v>
      </c>
      <c r="V40">
        <v>1.6897816456920001</v>
      </c>
      <c r="W40" s="4">
        <f t="shared" si="9"/>
        <v>1.685213066475812</v>
      </c>
      <c r="X40">
        <v>2.5833770726399998</v>
      </c>
      <c r="Y40" s="4">
        <f t="shared" si="10"/>
        <v>2.5726989332808925</v>
      </c>
      <c r="Z40">
        <v>1.570316768496</v>
      </c>
      <c r="AA40" s="4">
        <f t="shared" si="11"/>
        <v>1.5663713368905285</v>
      </c>
      <c r="AB40">
        <v>0</v>
      </c>
      <c r="AC40" s="4">
        <f t="shared" si="12"/>
        <v>0</v>
      </c>
      <c r="AD40">
        <v>2.6254790498160001</v>
      </c>
      <c r="AE40" s="4">
        <f t="shared" si="13"/>
        <v>2.6144500254303633</v>
      </c>
      <c r="AF40">
        <v>1.43795323854</v>
      </c>
      <c r="AG40" s="4">
        <f t="shared" si="14"/>
        <v>1.4346449033140356</v>
      </c>
      <c r="AH40">
        <v>0</v>
      </c>
      <c r="AI40" s="4">
        <f t="shared" si="15"/>
        <v>0</v>
      </c>
      <c r="AJ40">
        <v>3.280740789312</v>
      </c>
      <c r="AK40" s="4">
        <f t="shared" si="16"/>
        <v>3.2635195731093507</v>
      </c>
      <c r="AL40">
        <v>2.3684350891319998</v>
      </c>
      <c r="AM40" s="4">
        <f t="shared" si="17"/>
        <v>2.3594599134977088</v>
      </c>
      <c r="AN40">
        <v>1.3706771193359999</v>
      </c>
      <c r="AO40" s="4">
        <f t="shared" si="18"/>
        <v>1.367671110111246</v>
      </c>
      <c r="AP40">
        <v>3.4749426441239999</v>
      </c>
      <c r="AQ40" s="4">
        <f t="shared" si="19"/>
        <v>3.4556222819160776</v>
      </c>
      <c r="AR40">
        <v>3.3698050976520002</v>
      </c>
      <c r="AS40" s="4">
        <f t="shared" si="20"/>
        <v>3.3516361594181423</v>
      </c>
      <c r="AT40">
        <v>0.80045609086800007</v>
      </c>
      <c r="AU40" s="4">
        <f t="shared" si="21"/>
        <v>0.79943092294254781</v>
      </c>
      <c r="AV40">
        <v>0.32215321101599997</v>
      </c>
      <c r="AW40" s="4">
        <f t="shared" si="22"/>
        <v>0.32198715870981132</v>
      </c>
      <c r="AX40">
        <v>0</v>
      </c>
      <c r="AY40" s="4">
        <f t="shared" si="23"/>
        <v>0</v>
      </c>
      <c r="AZ40">
        <v>0</v>
      </c>
      <c r="BA40" s="4">
        <f t="shared" si="24"/>
        <v>0</v>
      </c>
      <c r="BB40">
        <v>0</v>
      </c>
      <c r="BC40" s="4">
        <f t="shared" si="25"/>
        <v>0</v>
      </c>
      <c r="BD40">
        <v>0</v>
      </c>
      <c r="BE40" s="4">
        <f t="shared" si="26"/>
        <v>0</v>
      </c>
      <c r="BF40">
        <v>0</v>
      </c>
      <c r="BG40" s="4">
        <f t="shared" si="27"/>
        <v>0</v>
      </c>
      <c r="BH40">
        <v>0</v>
      </c>
      <c r="BI40" s="4">
        <f t="shared" si="28"/>
        <v>0</v>
      </c>
      <c r="BJ40">
        <v>0</v>
      </c>
      <c r="BK40" s="4">
        <f t="shared" si="29"/>
        <v>0</v>
      </c>
      <c r="BL40">
        <v>0</v>
      </c>
      <c r="BM40" s="4">
        <f t="shared" si="30"/>
        <v>0</v>
      </c>
      <c r="BN40">
        <v>1.512490324968</v>
      </c>
      <c r="BO40" s="4">
        <f t="shared" si="31"/>
        <v>1.5088301217950049</v>
      </c>
      <c r="BP40">
        <v>1.5221547918360001</v>
      </c>
      <c r="BQ40" s="4">
        <f t="shared" si="32"/>
        <v>1.518447663499505</v>
      </c>
      <c r="BR40">
        <v>0</v>
      </c>
      <c r="BS40" s="4">
        <f t="shared" si="33"/>
        <v>0</v>
      </c>
      <c r="BT40">
        <v>0</v>
      </c>
      <c r="BU40" s="4">
        <f t="shared" si="34"/>
        <v>0</v>
      </c>
      <c r="BV40">
        <v>0</v>
      </c>
      <c r="BW40" s="4">
        <f t="shared" si="35"/>
        <v>0</v>
      </c>
      <c r="BX40">
        <v>0</v>
      </c>
      <c r="BY40" s="4">
        <f t="shared" si="36"/>
        <v>0</v>
      </c>
      <c r="BZ40">
        <v>0</v>
      </c>
      <c r="CA40" s="4">
        <f t="shared" si="37"/>
        <v>0</v>
      </c>
      <c r="CB40">
        <v>0</v>
      </c>
      <c r="CC40" s="4">
        <f t="shared" si="38"/>
        <v>0</v>
      </c>
      <c r="CD40">
        <v>1.3364136717120001</v>
      </c>
      <c r="CE40" s="4">
        <f t="shared" si="39"/>
        <v>1.3335560693088981</v>
      </c>
      <c r="CF40">
        <f t="shared" si="40"/>
        <v>1.565797826868649</v>
      </c>
    </row>
    <row r="41" spans="1:84" x14ac:dyDescent="0.2">
      <c r="A41" s="2">
        <v>42043</v>
      </c>
      <c r="B41">
        <v>2018</v>
      </c>
      <c r="C41">
        <v>3</v>
      </c>
      <c r="D41">
        <v>2.6540668487699999</v>
      </c>
      <c r="E41" s="4">
        <f t="shared" si="0"/>
        <v>2.6427963354296162</v>
      </c>
      <c r="F41">
        <v>2.7448424148599999</v>
      </c>
      <c r="G41" s="4">
        <f t="shared" si="1"/>
        <v>2.7327877590481369</v>
      </c>
      <c r="H41">
        <v>3.6585626651999998</v>
      </c>
      <c r="I41" s="4">
        <f t="shared" si="2"/>
        <v>3.6371465359596873</v>
      </c>
      <c r="J41">
        <v>2.8485085487399999</v>
      </c>
      <c r="K41" s="4">
        <f t="shared" si="3"/>
        <v>2.8355261472164077</v>
      </c>
      <c r="L41">
        <v>3.8932547093999998</v>
      </c>
      <c r="M41" s="4">
        <f t="shared" si="4"/>
        <v>3.8690028178283757</v>
      </c>
      <c r="N41">
        <v>2.84761689669</v>
      </c>
      <c r="O41" s="4">
        <f t="shared" si="5"/>
        <v>2.834642621505497</v>
      </c>
      <c r="P41">
        <v>1.5077863314</v>
      </c>
      <c r="Q41" s="4">
        <f t="shared" si="6"/>
        <v>1.5041488600061492</v>
      </c>
      <c r="R41">
        <v>2.2585877036999999</v>
      </c>
      <c r="S41" s="4">
        <f t="shared" si="7"/>
        <v>2.2504257542355122</v>
      </c>
      <c r="T41">
        <v>2.0416923522000001</v>
      </c>
      <c r="U41" s="4">
        <f t="shared" si="8"/>
        <v>2.0350227399423493</v>
      </c>
      <c r="V41">
        <v>1.6735724262</v>
      </c>
      <c r="W41" s="4">
        <f t="shared" si="9"/>
        <v>1.6690910747348209</v>
      </c>
      <c r="X41">
        <v>2.0682432174600001</v>
      </c>
      <c r="Y41" s="4">
        <f t="shared" si="10"/>
        <v>2.0613990094494894</v>
      </c>
      <c r="Z41">
        <v>1.6726721049</v>
      </c>
      <c r="AA41" s="4">
        <f t="shared" si="11"/>
        <v>1.6681955737471827</v>
      </c>
      <c r="AB41">
        <v>1.00650876048</v>
      </c>
      <c r="AC41" s="4">
        <f t="shared" si="12"/>
        <v>1.0048878646641233</v>
      </c>
      <c r="AD41">
        <v>1.8495631884599999</v>
      </c>
      <c r="AE41" s="4">
        <f t="shared" si="13"/>
        <v>1.8440897740790299</v>
      </c>
      <c r="AF41">
        <v>1.4726055764699999</v>
      </c>
      <c r="AG41" s="4">
        <f t="shared" si="14"/>
        <v>1.4691358689758389</v>
      </c>
      <c r="AH41">
        <v>0.78786864278999991</v>
      </c>
      <c r="AI41" s="4">
        <f t="shared" si="15"/>
        <v>0.78687546359273297</v>
      </c>
      <c r="AJ41">
        <v>2.1557125424699999</v>
      </c>
      <c r="AK41" s="4">
        <f t="shared" si="16"/>
        <v>2.14827718796478</v>
      </c>
      <c r="AL41">
        <v>1.7616539812500001</v>
      </c>
      <c r="AM41" s="4">
        <f t="shared" si="17"/>
        <v>1.7566885016505538</v>
      </c>
      <c r="AN41">
        <v>1.2541765594500001</v>
      </c>
      <c r="AO41" s="4">
        <f t="shared" si="18"/>
        <v>1.2516598253023619</v>
      </c>
      <c r="AP41">
        <v>2.4330285359100001</v>
      </c>
      <c r="AQ41" s="4">
        <f t="shared" si="19"/>
        <v>2.4235571313395168</v>
      </c>
      <c r="AR41">
        <v>2.3313841438499998</v>
      </c>
      <c r="AS41" s="4">
        <f t="shared" si="20"/>
        <v>2.3226875806080876</v>
      </c>
      <c r="AT41">
        <v>1.0110826134899999</v>
      </c>
      <c r="AU41" s="4">
        <f t="shared" si="21"/>
        <v>1.0094469526079173</v>
      </c>
      <c r="AV41">
        <v>1.13574774024</v>
      </c>
      <c r="AW41" s="4">
        <f t="shared" si="22"/>
        <v>1.1336838635528637</v>
      </c>
      <c r="AX41">
        <v>1.3351185465299999</v>
      </c>
      <c r="AY41" s="4">
        <f t="shared" si="23"/>
        <v>1.3322664800767385</v>
      </c>
      <c r="AZ41">
        <v>1.1981706190200001</v>
      </c>
      <c r="BA41" s="4">
        <f t="shared" si="24"/>
        <v>1.1958736384883477</v>
      </c>
      <c r="BB41">
        <v>1.49382554022</v>
      </c>
      <c r="BC41" s="4">
        <f t="shared" si="25"/>
        <v>1.4902551166286184</v>
      </c>
      <c r="BD41">
        <v>1.2557457162000001</v>
      </c>
      <c r="BE41" s="4">
        <f t="shared" si="26"/>
        <v>1.2532226805139925</v>
      </c>
      <c r="BF41">
        <v>1.2185024067000001</v>
      </c>
      <c r="BG41" s="4">
        <f t="shared" si="27"/>
        <v>1.2161268097157862</v>
      </c>
      <c r="BH41">
        <v>0.95307186150000001</v>
      </c>
      <c r="BI41" s="4">
        <f t="shared" si="28"/>
        <v>0.95161850794290703</v>
      </c>
      <c r="BJ41">
        <v>1.3360208416199999</v>
      </c>
      <c r="BK41" s="4">
        <f t="shared" si="29"/>
        <v>1.333164918917211</v>
      </c>
      <c r="BL41">
        <v>1.0319334840000001</v>
      </c>
      <c r="BM41" s="4">
        <f t="shared" si="30"/>
        <v>1.0302296652553595</v>
      </c>
      <c r="BN41">
        <v>1.1750765418</v>
      </c>
      <c r="BO41" s="4">
        <f t="shared" si="31"/>
        <v>1.1728672539934579</v>
      </c>
      <c r="BP41">
        <v>1.2387656593800001</v>
      </c>
      <c r="BQ41" s="4">
        <f t="shared" si="32"/>
        <v>1.2363103948058254</v>
      </c>
      <c r="BR41">
        <v>0.97936997652000002</v>
      </c>
      <c r="BS41" s="4">
        <f t="shared" si="33"/>
        <v>0.97783531163854598</v>
      </c>
      <c r="BT41">
        <v>1.45094027994</v>
      </c>
      <c r="BU41" s="4">
        <f t="shared" si="34"/>
        <v>1.4475719156264764</v>
      </c>
      <c r="BV41">
        <v>1.45618560792</v>
      </c>
      <c r="BW41" s="4">
        <f t="shared" si="35"/>
        <v>1.4527928454804584</v>
      </c>
      <c r="BX41">
        <v>1.1779081928099999</v>
      </c>
      <c r="BY41" s="4">
        <f t="shared" si="36"/>
        <v>1.1756882444728975</v>
      </c>
      <c r="BZ41">
        <v>1.1218242430800001</v>
      </c>
      <c r="CA41" s="4">
        <f t="shared" si="37"/>
        <v>1.1198106596682207</v>
      </c>
      <c r="CB41">
        <v>1.16109326367</v>
      </c>
      <c r="CC41" s="4">
        <f t="shared" si="38"/>
        <v>1.1589362435628963</v>
      </c>
      <c r="CD41">
        <v>1.6587358617600001</v>
      </c>
      <c r="CE41" s="4">
        <f t="shared" si="39"/>
        <v>1.6543336143054583</v>
      </c>
      <c r="CF41">
        <f t="shared" si="40"/>
        <v>1.7105870037803781</v>
      </c>
    </row>
    <row r="42" spans="1:84" x14ac:dyDescent="0.2">
      <c r="A42" s="2">
        <v>42044</v>
      </c>
      <c r="B42">
        <v>2018</v>
      </c>
      <c r="C42">
        <v>4</v>
      </c>
      <c r="D42">
        <v>13.037845900380001</v>
      </c>
      <c r="E42" s="4">
        <f t="shared" si="0"/>
        <v>12.765869219224713</v>
      </c>
      <c r="F42">
        <v>17.109371361579999</v>
      </c>
      <c r="G42" s="4">
        <f t="shared" si="1"/>
        <v>16.641002420158472</v>
      </c>
      <c r="H42">
        <v>17.933399065820002</v>
      </c>
      <c r="I42" s="4">
        <f t="shared" si="2"/>
        <v>17.418828182533673</v>
      </c>
      <c r="J42">
        <v>11.18794524916</v>
      </c>
      <c r="K42" s="4">
        <f t="shared" si="3"/>
        <v>10.987673058922878</v>
      </c>
      <c r="L42">
        <v>13.68909345488</v>
      </c>
      <c r="M42" s="4">
        <f t="shared" si="4"/>
        <v>13.389267407493698</v>
      </c>
      <c r="N42">
        <v>11.72951974894</v>
      </c>
      <c r="O42" s="4">
        <f t="shared" si="5"/>
        <v>11.509389135274763</v>
      </c>
      <c r="P42">
        <v>12.680625212740001</v>
      </c>
      <c r="Q42" s="4">
        <f t="shared" si="6"/>
        <v>12.423348003482436</v>
      </c>
      <c r="R42">
        <v>9.3402828342559996</v>
      </c>
      <c r="S42" s="4">
        <f t="shared" si="7"/>
        <v>9.2006974207777645</v>
      </c>
      <c r="T42">
        <v>10.684788218392001</v>
      </c>
      <c r="U42" s="4">
        <f t="shared" si="8"/>
        <v>10.502124699556978</v>
      </c>
      <c r="V42">
        <v>9.8781395408620014</v>
      </c>
      <c r="W42" s="4">
        <f t="shared" si="9"/>
        <v>9.7220153156000162</v>
      </c>
      <c r="X42">
        <v>9.2506291497080007</v>
      </c>
      <c r="Y42" s="4">
        <f t="shared" si="10"/>
        <v>9.1137105262433167</v>
      </c>
      <c r="Z42">
        <v>7.4865777890700009</v>
      </c>
      <c r="AA42" s="4">
        <f t="shared" si="11"/>
        <v>7.3968996338831268</v>
      </c>
      <c r="AB42">
        <v>4.7302182375379997</v>
      </c>
      <c r="AC42" s="4">
        <f t="shared" si="12"/>
        <v>4.6944182942184209</v>
      </c>
      <c r="AD42">
        <v>9.7321254381740019</v>
      </c>
      <c r="AE42" s="4">
        <f t="shared" si="13"/>
        <v>9.5805826133030365</v>
      </c>
      <c r="AF42">
        <v>7.5416398374420002</v>
      </c>
      <c r="AG42" s="4">
        <f t="shared" si="14"/>
        <v>7.4506377071416932</v>
      </c>
      <c r="AH42">
        <v>5.8168863446139998</v>
      </c>
      <c r="AI42" s="4">
        <f t="shared" si="15"/>
        <v>5.762748477820149</v>
      </c>
      <c r="AJ42">
        <v>14.41407754466</v>
      </c>
      <c r="AK42" s="4">
        <f t="shared" si="16"/>
        <v>14.081652534318446</v>
      </c>
      <c r="AL42">
        <v>13.130994042759999</v>
      </c>
      <c r="AM42" s="4">
        <f t="shared" si="17"/>
        <v>12.855117235478401</v>
      </c>
      <c r="AN42">
        <v>10.974853120100001</v>
      </c>
      <c r="AO42" s="4">
        <f t="shared" si="18"/>
        <v>10.782137278487571</v>
      </c>
      <c r="AP42">
        <v>15.13690454706</v>
      </c>
      <c r="AQ42" s="4">
        <f t="shared" si="19"/>
        <v>14.770303140233111</v>
      </c>
      <c r="AR42">
        <v>16.089764023099999</v>
      </c>
      <c r="AS42" s="4">
        <f t="shared" si="20"/>
        <v>15.675555212989529</v>
      </c>
      <c r="AT42">
        <v>12.42897584558</v>
      </c>
      <c r="AU42" s="4">
        <f t="shared" si="21"/>
        <v>12.181808740667982</v>
      </c>
      <c r="AV42">
        <v>8.8807229497200009</v>
      </c>
      <c r="AW42" s="4">
        <f t="shared" si="22"/>
        <v>8.7545353655445073</v>
      </c>
      <c r="AX42">
        <v>12.38868615476</v>
      </c>
      <c r="AY42" s="4">
        <f t="shared" si="23"/>
        <v>12.143118883334173</v>
      </c>
      <c r="AZ42">
        <v>12.86960059806</v>
      </c>
      <c r="BA42" s="4">
        <f t="shared" si="24"/>
        <v>12.604598006774262</v>
      </c>
      <c r="BB42">
        <v>12.730740130036001</v>
      </c>
      <c r="BC42" s="4">
        <f t="shared" si="25"/>
        <v>12.471425339222385</v>
      </c>
      <c r="BD42">
        <v>13.530094438360001</v>
      </c>
      <c r="BE42" s="4">
        <f t="shared" si="26"/>
        <v>13.237192909542497</v>
      </c>
      <c r="BF42">
        <v>12.971752306380001</v>
      </c>
      <c r="BG42" s="4">
        <f t="shared" si="27"/>
        <v>12.702526133743081</v>
      </c>
      <c r="BH42">
        <v>12.17981953922</v>
      </c>
      <c r="BI42" s="4">
        <f t="shared" si="28"/>
        <v>11.942462732807256</v>
      </c>
      <c r="BJ42">
        <v>11.581249974106001</v>
      </c>
      <c r="BK42" s="4">
        <f t="shared" si="29"/>
        <v>11.366649412565632</v>
      </c>
      <c r="BL42">
        <v>14.10740440388</v>
      </c>
      <c r="BM42" s="4">
        <f t="shared" si="30"/>
        <v>13.78897422945662</v>
      </c>
      <c r="BN42">
        <v>15.321044714719999</v>
      </c>
      <c r="BO42" s="4">
        <f t="shared" si="31"/>
        <v>14.945469656879279</v>
      </c>
      <c r="BP42">
        <v>17.586050113580001</v>
      </c>
      <c r="BQ42" s="4">
        <f t="shared" si="32"/>
        <v>17.091219459824245</v>
      </c>
      <c r="BR42">
        <v>13.965275483159999</v>
      </c>
      <c r="BS42" s="4">
        <f t="shared" si="33"/>
        <v>13.653229212247119</v>
      </c>
      <c r="BT42">
        <v>11.796935207708</v>
      </c>
      <c r="BU42" s="4">
        <f t="shared" si="34"/>
        <v>11.574266919236223</v>
      </c>
      <c r="BV42">
        <v>11.330677816373999</v>
      </c>
      <c r="BW42" s="4">
        <f t="shared" si="35"/>
        <v>11.125263000728449</v>
      </c>
      <c r="BX42">
        <v>8.6261660557360003</v>
      </c>
      <c r="BY42" s="4">
        <f t="shared" si="36"/>
        <v>8.50710887042219</v>
      </c>
      <c r="BZ42">
        <v>10.66506413338</v>
      </c>
      <c r="CA42" s="4">
        <f t="shared" si="37"/>
        <v>10.483074384629425</v>
      </c>
      <c r="CB42">
        <v>12.37015143186</v>
      </c>
      <c r="CC42" s="4">
        <f t="shared" si="38"/>
        <v>12.125318397544563</v>
      </c>
      <c r="CD42">
        <v>16.986593004140001</v>
      </c>
      <c r="CE42" s="4">
        <f t="shared" si="39"/>
        <v>16.524922057118726</v>
      </c>
      <c r="CF42">
        <f t="shared" si="40"/>
        <v>11.799313967945023</v>
      </c>
    </row>
    <row r="43" spans="1:84" x14ac:dyDescent="0.2">
      <c r="A43" s="2">
        <v>42045</v>
      </c>
      <c r="B43">
        <v>2018</v>
      </c>
      <c r="C43">
        <v>5</v>
      </c>
      <c r="D43">
        <v>62.912693664690003</v>
      </c>
      <c r="E43" s="4">
        <f t="shared" si="0"/>
        <v>56.579882426054603</v>
      </c>
      <c r="F43">
        <v>65.784313223154996</v>
      </c>
      <c r="G43" s="4">
        <f t="shared" si="1"/>
        <v>58.860191837167527</v>
      </c>
      <c r="H43">
        <v>68.119817652889992</v>
      </c>
      <c r="I43" s="4">
        <f t="shared" si="2"/>
        <v>60.69532236158922</v>
      </c>
      <c r="J43">
        <v>68.824308314899994</v>
      </c>
      <c r="K43" s="4">
        <f t="shared" si="3"/>
        <v>61.245451650860936</v>
      </c>
      <c r="L43">
        <v>67.192974209040003</v>
      </c>
      <c r="M43" s="4">
        <f t="shared" si="4"/>
        <v>59.969140956149261</v>
      </c>
      <c r="N43">
        <v>66.574046904135002</v>
      </c>
      <c r="O43" s="4">
        <f t="shared" si="5"/>
        <v>59.482680950224655</v>
      </c>
      <c r="P43">
        <v>69.238198167799993</v>
      </c>
      <c r="Q43" s="4">
        <f t="shared" si="6"/>
        <v>61.567913230962333</v>
      </c>
      <c r="R43">
        <v>66.629674707120003</v>
      </c>
      <c r="S43" s="4">
        <f t="shared" si="7"/>
        <v>59.526453024597394</v>
      </c>
      <c r="T43">
        <v>64.302326553425004</v>
      </c>
      <c r="U43" s="4">
        <f t="shared" si="8"/>
        <v>57.686663833131718</v>
      </c>
      <c r="V43">
        <v>61.609209444640001</v>
      </c>
      <c r="W43" s="4">
        <f t="shared" si="9"/>
        <v>55.536097943210372</v>
      </c>
      <c r="X43">
        <v>63.301010125734997</v>
      </c>
      <c r="Y43" s="4">
        <f t="shared" si="10"/>
        <v>56.889781513033554</v>
      </c>
      <c r="Z43">
        <v>60.015683420175002</v>
      </c>
      <c r="AA43" s="4">
        <f t="shared" si="11"/>
        <v>54.252671809949931</v>
      </c>
      <c r="AB43">
        <v>53.149357524389998</v>
      </c>
      <c r="AC43" s="4">
        <f t="shared" si="12"/>
        <v>48.629590795981315</v>
      </c>
      <c r="AD43">
        <v>60.952196092714999</v>
      </c>
      <c r="AE43" s="4">
        <f t="shared" si="13"/>
        <v>55.007923759075346</v>
      </c>
      <c r="AF43">
        <v>60.006487586405001</v>
      </c>
      <c r="AG43" s="4">
        <f t="shared" si="14"/>
        <v>54.245241902473197</v>
      </c>
      <c r="AH43">
        <v>55.924730873735001</v>
      </c>
      <c r="AI43" s="4">
        <f t="shared" si="15"/>
        <v>50.9206100364555</v>
      </c>
      <c r="AJ43">
        <v>66.071159633684999</v>
      </c>
      <c r="AK43" s="4">
        <f t="shared" si="16"/>
        <v>59.086522617141185</v>
      </c>
      <c r="AL43">
        <v>62.002353363369998</v>
      </c>
      <c r="AM43" s="4">
        <f t="shared" si="17"/>
        <v>55.851486447216075</v>
      </c>
      <c r="AN43">
        <v>66.394644138770005</v>
      </c>
      <c r="AO43" s="4">
        <f t="shared" si="18"/>
        <v>59.34144610626776</v>
      </c>
      <c r="AP43">
        <v>65.749145171845001</v>
      </c>
      <c r="AQ43" s="4">
        <f t="shared" si="19"/>
        <v>58.832425026519637</v>
      </c>
      <c r="AR43">
        <v>68.635065634794998</v>
      </c>
      <c r="AS43" s="4">
        <f t="shared" si="20"/>
        <v>61.097830059286807</v>
      </c>
      <c r="AT43">
        <v>71.973784511589997</v>
      </c>
      <c r="AU43" s="4">
        <f t="shared" si="21"/>
        <v>63.685423460516731</v>
      </c>
      <c r="AV43">
        <v>64.82094061478</v>
      </c>
      <c r="AW43" s="4">
        <f t="shared" si="22"/>
        <v>58.098133667284259</v>
      </c>
      <c r="AX43">
        <v>69.361409072754995</v>
      </c>
      <c r="AY43" s="4">
        <f t="shared" si="23"/>
        <v>61.663800963062101</v>
      </c>
      <c r="AZ43">
        <v>70.168262686769992</v>
      </c>
      <c r="BA43" s="4">
        <f t="shared" si="24"/>
        <v>62.290526545202702</v>
      </c>
      <c r="BB43">
        <v>63.333407956469998</v>
      </c>
      <c r="BC43" s="4">
        <f t="shared" si="25"/>
        <v>56.91561505506094</v>
      </c>
      <c r="BD43">
        <v>67.588157658015007</v>
      </c>
      <c r="BE43" s="4">
        <f t="shared" si="26"/>
        <v>60.279103169047502</v>
      </c>
      <c r="BF43">
        <v>65.365087355149996</v>
      </c>
      <c r="BG43" s="4">
        <f t="shared" si="27"/>
        <v>58.528935923235778</v>
      </c>
      <c r="BH43">
        <v>66.569668335774992</v>
      </c>
      <c r="BI43" s="4">
        <f t="shared" si="28"/>
        <v>59.47923514803886</v>
      </c>
      <c r="BJ43">
        <v>67.3268131775</v>
      </c>
      <c r="BK43" s="4">
        <f t="shared" si="29"/>
        <v>60.074173541279215</v>
      </c>
      <c r="BL43">
        <v>66.583294769674993</v>
      </c>
      <c r="BM43" s="4">
        <f t="shared" si="30"/>
        <v>59.4899585418583</v>
      </c>
      <c r="BN43">
        <v>67.392057947029997</v>
      </c>
      <c r="BO43" s="4">
        <f t="shared" si="31"/>
        <v>60.125354788092643</v>
      </c>
      <c r="BP43">
        <v>66.637497742085003</v>
      </c>
      <c r="BQ43" s="4">
        <f t="shared" si="32"/>
        <v>59.532607973562797</v>
      </c>
      <c r="BR43">
        <v>67.022096607804997</v>
      </c>
      <c r="BS43" s="4">
        <f t="shared" si="33"/>
        <v>59.834958313875489</v>
      </c>
      <c r="BT43">
        <v>67.221752726304999</v>
      </c>
      <c r="BU43" s="4">
        <f t="shared" si="34"/>
        <v>59.991730262950611</v>
      </c>
      <c r="BV43">
        <v>59.820978926634993</v>
      </c>
      <c r="BW43" s="4">
        <f t="shared" si="35"/>
        <v>54.095299695049533</v>
      </c>
      <c r="BX43">
        <v>57.997472600990001</v>
      </c>
      <c r="BY43" s="4">
        <f t="shared" si="36"/>
        <v>52.61554167602587</v>
      </c>
      <c r="BZ43">
        <v>65.938654144110004</v>
      </c>
      <c r="CA43" s="4">
        <f t="shared" si="37"/>
        <v>58.982004367571513</v>
      </c>
      <c r="CB43">
        <v>73.823162218424997</v>
      </c>
      <c r="CC43" s="4">
        <f t="shared" si="38"/>
        <v>65.103387370540361</v>
      </c>
      <c r="CD43">
        <v>78.468777411034992</v>
      </c>
      <c r="CE43" s="4">
        <f t="shared" si="39"/>
        <v>68.617018965622904</v>
      </c>
      <c r="CF43">
        <f t="shared" si="40"/>
        <v>58.709583427875835</v>
      </c>
    </row>
    <row r="44" spans="1:84" x14ac:dyDescent="0.2">
      <c r="A44" s="2">
        <v>42046</v>
      </c>
      <c r="B44">
        <v>2018</v>
      </c>
      <c r="C44">
        <v>6</v>
      </c>
      <c r="D44">
        <v>445.58908198911598</v>
      </c>
      <c r="E44" s="4">
        <f t="shared" si="0"/>
        <v>169.55890819891161</v>
      </c>
      <c r="F44">
        <v>417.68957416715102</v>
      </c>
      <c r="G44" s="4">
        <f t="shared" si="1"/>
        <v>166.7689574167151</v>
      </c>
      <c r="H44">
        <v>395.95092876440401</v>
      </c>
      <c r="I44" s="4">
        <f t="shared" si="2"/>
        <v>164.59509287644039</v>
      </c>
      <c r="J44">
        <v>503.18947205244899</v>
      </c>
      <c r="K44" s="4">
        <f t="shared" si="3"/>
        <v>175.31894720524491</v>
      </c>
      <c r="L44">
        <v>456.97318722549011</v>
      </c>
      <c r="M44" s="4">
        <f t="shared" si="4"/>
        <v>170.69731872254903</v>
      </c>
      <c r="N44">
        <v>505.60684546047003</v>
      </c>
      <c r="O44" s="4">
        <f t="shared" si="5"/>
        <v>175.56068454604701</v>
      </c>
      <c r="P44">
        <v>472.79304988180201</v>
      </c>
      <c r="Q44" s="4">
        <f t="shared" si="6"/>
        <v>172.2793049881802</v>
      </c>
      <c r="R44">
        <v>497.72643779110211</v>
      </c>
      <c r="S44" s="4">
        <f t="shared" si="7"/>
        <v>174.77264377911021</v>
      </c>
      <c r="T44">
        <v>485.525240530551</v>
      </c>
      <c r="U44" s="4">
        <f t="shared" si="8"/>
        <v>173.55252405305509</v>
      </c>
      <c r="V44">
        <v>495.38498803010111</v>
      </c>
      <c r="W44" s="4">
        <f t="shared" si="9"/>
        <v>174.5384988030101</v>
      </c>
      <c r="X44">
        <v>520.62030883804505</v>
      </c>
      <c r="Y44" s="4">
        <f t="shared" si="10"/>
        <v>177.06203088380451</v>
      </c>
      <c r="Z44">
        <v>495.60106449944999</v>
      </c>
      <c r="AA44" s="4">
        <f t="shared" si="11"/>
        <v>174.56010644994501</v>
      </c>
      <c r="AB44">
        <v>502.36344021758703</v>
      </c>
      <c r="AC44" s="4">
        <f t="shared" si="12"/>
        <v>175.2363440217587</v>
      </c>
      <c r="AD44">
        <v>460.11377919600602</v>
      </c>
      <c r="AE44" s="4">
        <f t="shared" si="13"/>
        <v>171.01137791960059</v>
      </c>
      <c r="AF44">
        <v>451.94248249573798</v>
      </c>
      <c r="AG44" s="4">
        <f t="shared" si="14"/>
        <v>170.1942482495738</v>
      </c>
      <c r="AH44">
        <v>506.11422859377899</v>
      </c>
      <c r="AI44" s="4">
        <f t="shared" si="15"/>
        <v>175.61142285937791</v>
      </c>
      <c r="AJ44">
        <v>435.85610320983898</v>
      </c>
      <c r="AK44" s="4">
        <f t="shared" si="16"/>
        <v>168.5856103209839</v>
      </c>
      <c r="AL44">
        <v>427.05121551690002</v>
      </c>
      <c r="AM44" s="4">
        <f t="shared" si="17"/>
        <v>167.70512155169001</v>
      </c>
      <c r="AN44">
        <v>457.24830687533398</v>
      </c>
      <c r="AO44" s="4">
        <f t="shared" si="18"/>
        <v>170.7248306875334</v>
      </c>
      <c r="AP44">
        <v>444.17990475471601</v>
      </c>
      <c r="AQ44" s="4">
        <f t="shared" si="19"/>
        <v>169.41799047547161</v>
      </c>
      <c r="AR44">
        <v>420.47836316335201</v>
      </c>
      <c r="AS44" s="4">
        <f t="shared" si="20"/>
        <v>167.04783631633521</v>
      </c>
      <c r="AT44">
        <v>534.763036412475</v>
      </c>
      <c r="AU44" s="4">
        <f t="shared" si="21"/>
        <v>178.47630364124751</v>
      </c>
      <c r="AV44">
        <v>527.42565415390504</v>
      </c>
      <c r="AW44" s="4">
        <f t="shared" si="22"/>
        <v>177.74256541539052</v>
      </c>
      <c r="AX44">
        <v>476.36544975961499</v>
      </c>
      <c r="AY44" s="4">
        <f t="shared" si="23"/>
        <v>172.6365449759615</v>
      </c>
      <c r="AZ44">
        <v>498.68182478376599</v>
      </c>
      <c r="BA44" s="4">
        <f t="shared" si="24"/>
        <v>174.86818247837661</v>
      </c>
      <c r="BB44">
        <v>543.66621612544805</v>
      </c>
      <c r="BC44" s="4">
        <f t="shared" si="25"/>
        <v>179.3666216125448</v>
      </c>
      <c r="BD44">
        <v>529.80662463007502</v>
      </c>
      <c r="BE44" s="4">
        <f t="shared" si="26"/>
        <v>177.98066246300749</v>
      </c>
      <c r="BF44">
        <v>619.98866029643398</v>
      </c>
      <c r="BG44" s="4">
        <f t="shared" si="27"/>
        <v>186.99886602964341</v>
      </c>
      <c r="BH44">
        <v>595.02095905781107</v>
      </c>
      <c r="BI44" s="4">
        <f t="shared" si="28"/>
        <v>184.50209590578112</v>
      </c>
      <c r="BJ44">
        <v>534.76187386962602</v>
      </c>
      <c r="BK44" s="4">
        <f t="shared" si="29"/>
        <v>178.47618738696261</v>
      </c>
      <c r="BL44">
        <v>599.46067180857005</v>
      </c>
      <c r="BM44" s="4">
        <f t="shared" si="30"/>
        <v>184.946067180857</v>
      </c>
      <c r="BN44">
        <v>599.65289006223907</v>
      </c>
      <c r="BO44" s="4">
        <f t="shared" si="31"/>
        <v>184.96528900622391</v>
      </c>
      <c r="BP44">
        <v>588.60829555561804</v>
      </c>
      <c r="BQ44" s="4">
        <f t="shared" si="32"/>
        <v>183.86082955556179</v>
      </c>
      <c r="BR44">
        <v>610.54297903072506</v>
      </c>
      <c r="BS44" s="4">
        <f t="shared" si="33"/>
        <v>186.0542979030725</v>
      </c>
      <c r="BT44">
        <v>489.37409353306498</v>
      </c>
      <c r="BU44" s="4">
        <f t="shared" si="34"/>
        <v>173.93740935330649</v>
      </c>
      <c r="BV44">
        <v>507.75647340896398</v>
      </c>
      <c r="BW44" s="4">
        <f t="shared" si="35"/>
        <v>175.7756473408964</v>
      </c>
      <c r="BX44">
        <v>498.751585408089</v>
      </c>
      <c r="BY44" s="4">
        <f t="shared" si="36"/>
        <v>174.87515854080891</v>
      </c>
      <c r="BZ44">
        <v>543.18017228393103</v>
      </c>
      <c r="CA44" s="4">
        <f t="shared" si="37"/>
        <v>179.3180172283931</v>
      </c>
      <c r="CB44">
        <v>590.69001935268</v>
      </c>
      <c r="CC44" s="4">
        <f t="shared" si="38"/>
        <v>184.06900193526801</v>
      </c>
      <c r="CD44">
        <v>580.04741615979606</v>
      </c>
      <c r="CE44" s="4">
        <f t="shared" si="39"/>
        <v>183.00474161597961</v>
      </c>
      <c r="CF44">
        <f t="shared" si="40"/>
        <v>175.56443425385501</v>
      </c>
    </row>
    <row r="45" spans="1:84" x14ac:dyDescent="0.2">
      <c r="A45" s="2">
        <v>42047</v>
      </c>
      <c r="B45">
        <v>2018</v>
      </c>
      <c r="C45">
        <v>7</v>
      </c>
      <c r="D45">
        <v>300.58428410787502</v>
      </c>
      <c r="E45" s="4">
        <f t="shared" si="0"/>
        <v>155.05842841078751</v>
      </c>
      <c r="F45">
        <v>291.835999713045</v>
      </c>
      <c r="G45" s="4">
        <f t="shared" si="1"/>
        <v>154.18359997130449</v>
      </c>
      <c r="H45">
        <v>288.93669252220502</v>
      </c>
      <c r="I45" s="4">
        <f t="shared" si="2"/>
        <v>153.89366925222049</v>
      </c>
      <c r="J45">
        <v>304.73237580096003</v>
      </c>
      <c r="K45" s="4">
        <f t="shared" si="3"/>
        <v>155.473237580096</v>
      </c>
      <c r="L45">
        <v>306.37415262593998</v>
      </c>
      <c r="M45" s="4">
        <f t="shared" si="4"/>
        <v>155.637415262594</v>
      </c>
      <c r="N45">
        <v>285.86229151213502</v>
      </c>
      <c r="O45" s="4">
        <f t="shared" si="5"/>
        <v>153.5862291512135</v>
      </c>
      <c r="P45">
        <v>302.053869763835</v>
      </c>
      <c r="Q45" s="4">
        <f t="shared" si="6"/>
        <v>155.20538697638349</v>
      </c>
      <c r="R45">
        <v>303.54049808854501</v>
      </c>
      <c r="S45" s="4">
        <f t="shared" si="7"/>
        <v>155.35404980885451</v>
      </c>
      <c r="T45">
        <v>269.23274563051001</v>
      </c>
      <c r="U45" s="4">
        <f t="shared" si="8"/>
        <v>151.923274563051</v>
      </c>
      <c r="V45">
        <v>270.38158695415001</v>
      </c>
      <c r="W45" s="4">
        <f t="shared" si="9"/>
        <v>152.03815869541501</v>
      </c>
      <c r="X45">
        <v>288.65219999216998</v>
      </c>
      <c r="Y45" s="4">
        <f t="shared" si="10"/>
        <v>153.865219999217</v>
      </c>
      <c r="Z45">
        <v>232.65071691117501</v>
      </c>
      <c r="AA45" s="4">
        <f t="shared" si="11"/>
        <v>146.04854718432111</v>
      </c>
      <c r="AB45">
        <v>221.449514729405</v>
      </c>
      <c r="AC45" s="4">
        <f t="shared" si="12"/>
        <v>142.98569461118265</v>
      </c>
      <c r="AD45">
        <v>289.46987917263999</v>
      </c>
      <c r="AE45" s="4">
        <f t="shared" si="13"/>
        <v>153.94698791726401</v>
      </c>
      <c r="AF45">
        <v>232.93987327137501</v>
      </c>
      <c r="AG45" s="4">
        <f t="shared" si="14"/>
        <v>146.1222979758802</v>
      </c>
      <c r="AH45">
        <v>227.52283538192</v>
      </c>
      <c r="AI45" s="4">
        <f t="shared" si="15"/>
        <v>144.69621038955475</v>
      </c>
      <c r="AJ45">
        <v>296.26560823342999</v>
      </c>
      <c r="AK45" s="4">
        <f t="shared" si="16"/>
        <v>154.626560823343</v>
      </c>
      <c r="AL45">
        <v>254.13353175584501</v>
      </c>
      <c r="AM45" s="4">
        <f t="shared" si="17"/>
        <v>150.41335317558452</v>
      </c>
      <c r="AN45">
        <v>252.28956021818499</v>
      </c>
      <c r="AO45" s="4">
        <f t="shared" si="18"/>
        <v>150.2289560218185</v>
      </c>
      <c r="AP45">
        <v>294.13085044885503</v>
      </c>
      <c r="AQ45" s="4">
        <f t="shared" si="19"/>
        <v>154.41308504488552</v>
      </c>
      <c r="AR45">
        <v>269.87931245827502</v>
      </c>
      <c r="AS45" s="4">
        <f t="shared" si="20"/>
        <v>151.9879312458275</v>
      </c>
      <c r="AT45">
        <v>305.74070606589498</v>
      </c>
      <c r="AU45" s="4">
        <f t="shared" si="21"/>
        <v>155.57407060658949</v>
      </c>
      <c r="AV45">
        <v>251.33215073433999</v>
      </c>
      <c r="AW45" s="4">
        <f t="shared" si="22"/>
        <v>150.133215073434</v>
      </c>
      <c r="AX45">
        <v>272.50994333671002</v>
      </c>
      <c r="AY45" s="4">
        <f t="shared" si="23"/>
        <v>152.250994333671</v>
      </c>
      <c r="AZ45">
        <v>304.07164214930498</v>
      </c>
      <c r="BA45" s="4">
        <f t="shared" si="24"/>
        <v>155.4071642149305</v>
      </c>
      <c r="BB45">
        <v>351.15830529945498</v>
      </c>
      <c r="BC45" s="4">
        <f t="shared" si="25"/>
        <v>160.1158305299455</v>
      </c>
      <c r="BD45">
        <v>338.80363292412</v>
      </c>
      <c r="BE45" s="4">
        <f t="shared" si="26"/>
        <v>158.880363292412</v>
      </c>
      <c r="BF45">
        <v>381.36533094100002</v>
      </c>
      <c r="BG45" s="4">
        <f t="shared" si="27"/>
        <v>163.1365330941</v>
      </c>
      <c r="BH45">
        <v>369.401477351045</v>
      </c>
      <c r="BI45" s="4">
        <f t="shared" si="28"/>
        <v>161.94014773510452</v>
      </c>
      <c r="BJ45">
        <v>327.65577304573497</v>
      </c>
      <c r="BK45" s="4">
        <f t="shared" si="29"/>
        <v>157.7655773045735</v>
      </c>
      <c r="BL45">
        <v>374.01168291866497</v>
      </c>
      <c r="BM45" s="4">
        <f t="shared" si="30"/>
        <v>162.4011682918665</v>
      </c>
      <c r="BN45">
        <v>396.54609644754498</v>
      </c>
      <c r="BO45" s="4">
        <f t="shared" si="31"/>
        <v>164.65460964475449</v>
      </c>
      <c r="BP45">
        <v>395.83194703573997</v>
      </c>
      <c r="BQ45" s="4">
        <f t="shared" si="32"/>
        <v>164.58319470357401</v>
      </c>
      <c r="BR45">
        <v>345.97898223589499</v>
      </c>
      <c r="BS45" s="4">
        <f t="shared" si="33"/>
        <v>159.59789822358951</v>
      </c>
      <c r="BT45">
        <v>307.96000434244502</v>
      </c>
      <c r="BU45" s="4">
        <f t="shared" si="34"/>
        <v>155.79600043424449</v>
      </c>
      <c r="BV45">
        <v>297.12223317586489</v>
      </c>
      <c r="BW45" s="4">
        <f t="shared" si="35"/>
        <v>154.71222331758651</v>
      </c>
      <c r="BX45">
        <v>262.650671387785</v>
      </c>
      <c r="BY45" s="4">
        <f t="shared" si="36"/>
        <v>151.26506713877851</v>
      </c>
      <c r="BZ45">
        <v>307.10709035091998</v>
      </c>
      <c r="CA45" s="4">
        <f t="shared" si="37"/>
        <v>155.71070903509201</v>
      </c>
      <c r="CB45">
        <v>337.75571917194497</v>
      </c>
      <c r="CC45" s="4">
        <f t="shared" si="38"/>
        <v>158.7755719171945</v>
      </c>
      <c r="CD45">
        <v>350.608391179075</v>
      </c>
      <c r="CE45" s="4">
        <f t="shared" si="39"/>
        <v>160.06083911790751</v>
      </c>
      <c r="CF45">
        <f t="shared" si="40"/>
        <v>154.88116449655683</v>
      </c>
    </row>
    <row r="46" spans="1:84" x14ac:dyDescent="0.2">
      <c r="A46" s="2">
        <v>42048</v>
      </c>
      <c r="B46">
        <v>2018</v>
      </c>
      <c r="C46">
        <v>8</v>
      </c>
      <c r="D46">
        <v>401.21277570923201</v>
      </c>
      <c r="E46" s="4">
        <f t="shared" si="0"/>
        <v>165.12127757092321</v>
      </c>
      <c r="F46">
        <v>420.03874380767002</v>
      </c>
      <c r="G46" s="4">
        <f t="shared" si="1"/>
        <v>167.003874380767</v>
      </c>
      <c r="H46">
        <v>390.60371282175402</v>
      </c>
      <c r="I46" s="4">
        <f t="shared" si="2"/>
        <v>164.0603712821754</v>
      </c>
      <c r="J46">
        <v>386.01350379125</v>
      </c>
      <c r="K46" s="4">
        <f t="shared" si="3"/>
        <v>163.60135037912499</v>
      </c>
      <c r="L46">
        <v>370.40272719246201</v>
      </c>
      <c r="M46" s="4">
        <f t="shared" si="4"/>
        <v>162.04027271924622</v>
      </c>
      <c r="N46">
        <v>374.10304587418199</v>
      </c>
      <c r="O46" s="4">
        <f t="shared" si="5"/>
        <v>162.41030458741821</v>
      </c>
      <c r="P46">
        <v>373.19279465055803</v>
      </c>
      <c r="Q46" s="4">
        <f t="shared" si="6"/>
        <v>162.31927946505581</v>
      </c>
      <c r="R46">
        <v>380.51302042619398</v>
      </c>
      <c r="S46" s="4">
        <f t="shared" si="7"/>
        <v>163.0513020426194</v>
      </c>
      <c r="T46">
        <v>357.21615347203198</v>
      </c>
      <c r="U46" s="4">
        <f t="shared" si="8"/>
        <v>160.7216153472032</v>
      </c>
      <c r="V46">
        <v>400.95838179211199</v>
      </c>
      <c r="W46" s="4">
        <f t="shared" si="9"/>
        <v>165.0958381792112</v>
      </c>
      <c r="X46">
        <v>389.04803651477602</v>
      </c>
      <c r="Y46" s="4">
        <f t="shared" si="10"/>
        <v>163.90480365147761</v>
      </c>
      <c r="Z46">
        <v>363.829800368804</v>
      </c>
      <c r="AA46" s="4">
        <f t="shared" si="11"/>
        <v>161.38298003688041</v>
      </c>
      <c r="AB46">
        <v>387.58735247881998</v>
      </c>
      <c r="AC46" s="4">
        <f t="shared" si="12"/>
        <v>163.75873524788199</v>
      </c>
      <c r="AD46">
        <v>410.15627168236</v>
      </c>
      <c r="AE46" s="4">
        <f t="shared" si="13"/>
        <v>166.01562716823599</v>
      </c>
      <c r="AF46">
        <v>368.64585096281598</v>
      </c>
      <c r="AG46" s="4">
        <f t="shared" si="14"/>
        <v>161.86458509628159</v>
      </c>
      <c r="AH46">
        <v>385.51976763494201</v>
      </c>
      <c r="AI46" s="4">
        <f t="shared" si="15"/>
        <v>163.5519767634942</v>
      </c>
      <c r="AJ46">
        <v>428.42489580331602</v>
      </c>
      <c r="AK46" s="4">
        <f t="shared" si="16"/>
        <v>167.8424895803316</v>
      </c>
      <c r="AL46">
        <v>404.255207003686</v>
      </c>
      <c r="AM46" s="4">
        <f t="shared" si="17"/>
        <v>165.42552070036859</v>
      </c>
      <c r="AN46">
        <v>418.022828109344</v>
      </c>
      <c r="AO46" s="4">
        <f t="shared" si="18"/>
        <v>166.8022828109344</v>
      </c>
      <c r="AP46">
        <v>430.09882846142</v>
      </c>
      <c r="AQ46" s="4">
        <f t="shared" si="19"/>
        <v>168.00988284614201</v>
      </c>
      <c r="AR46">
        <v>423.42460117985399</v>
      </c>
      <c r="AS46" s="4">
        <f t="shared" si="20"/>
        <v>167.34246011798541</v>
      </c>
      <c r="AT46">
        <v>485.13621136481203</v>
      </c>
      <c r="AU46" s="4">
        <f t="shared" si="21"/>
        <v>173.51362113648122</v>
      </c>
      <c r="AV46">
        <v>432.208351634846</v>
      </c>
      <c r="AW46" s="4">
        <f t="shared" si="22"/>
        <v>168.22083516348459</v>
      </c>
      <c r="AX46">
        <v>438.24299666287402</v>
      </c>
      <c r="AY46" s="4">
        <f t="shared" si="23"/>
        <v>168.8242996662874</v>
      </c>
      <c r="AZ46">
        <v>495.44914711959802</v>
      </c>
      <c r="BA46" s="4">
        <f t="shared" si="24"/>
        <v>174.54491471195979</v>
      </c>
      <c r="BB46">
        <v>466.88788344653199</v>
      </c>
      <c r="BC46" s="4">
        <f t="shared" si="25"/>
        <v>171.6887883446532</v>
      </c>
      <c r="BD46">
        <v>480.49634954897601</v>
      </c>
      <c r="BE46" s="4">
        <f t="shared" si="26"/>
        <v>173.04963495489761</v>
      </c>
      <c r="BF46">
        <v>527.203839007282</v>
      </c>
      <c r="BG46" s="4">
        <f t="shared" si="27"/>
        <v>177.72038390072819</v>
      </c>
      <c r="BH46">
        <v>522.54926128649004</v>
      </c>
      <c r="BI46" s="4">
        <f t="shared" si="28"/>
        <v>177.254926128649</v>
      </c>
      <c r="BJ46">
        <v>497.19978534644599</v>
      </c>
      <c r="BK46" s="4">
        <f t="shared" si="29"/>
        <v>174.71997853464461</v>
      </c>
      <c r="BL46">
        <v>525.25170280707596</v>
      </c>
      <c r="BM46" s="4">
        <f t="shared" si="30"/>
        <v>177.52517028070758</v>
      </c>
      <c r="BN46">
        <v>536.59360606706798</v>
      </c>
      <c r="BO46" s="4">
        <f t="shared" si="31"/>
        <v>178.6593606067068</v>
      </c>
      <c r="BP46">
        <v>521.57326470714804</v>
      </c>
      <c r="BQ46" s="4">
        <f t="shared" si="32"/>
        <v>177.15732647071479</v>
      </c>
      <c r="BR46">
        <v>527.90708174430597</v>
      </c>
      <c r="BS46" s="4">
        <f t="shared" si="33"/>
        <v>177.79070817443059</v>
      </c>
      <c r="BT46">
        <v>413.52696305312998</v>
      </c>
      <c r="BU46" s="4">
        <f t="shared" si="34"/>
        <v>166.352696305313</v>
      </c>
      <c r="BV46">
        <v>448.617171842858</v>
      </c>
      <c r="BW46" s="4">
        <f t="shared" si="35"/>
        <v>169.86171718428579</v>
      </c>
      <c r="BX46">
        <v>437.40718707995001</v>
      </c>
      <c r="BY46" s="4">
        <f t="shared" si="36"/>
        <v>168.740718707995</v>
      </c>
      <c r="BZ46">
        <v>492.94888011748799</v>
      </c>
      <c r="CA46" s="4">
        <f t="shared" si="37"/>
        <v>174.29488801174881</v>
      </c>
      <c r="CB46">
        <v>527.98084257349001</v>
      </c>
      <c r="CC46" s="4">
        <f t="shared" si="38"/>
        <v>177.79808425734899</v>
      </c>
      <c r="CD46">
        <v>511.90009832215998</v>
      </c>
      <c r="CE46" s="4">
        <f t="shared" si="39"/>
        <v>176.19000983221599</v>
      </c>
      <c r="CF46">
        <f t="shared" si="40"/>
        <v>168.58584461558777</v>
      </c>
    </row>
    <row r="47" spans="1:84" x14ac:dyDescent="0.2">
      <c r="A47" s="2">
        <v>42049</v>
      </c>
      <c r="B47">
        <v>2018</v>
      </c>
      <c r="C47">
        <v>9</v>
      </c>
      <c r="D47">
        <v>416.56857019317999</v>
      </c>
      <c r="E47" s="4">
        <f t="shared" si="0"/>
        <v>166.65685701931801</v>
      </c>
      <c r="F47">
        <v>418.05250971333999</v>
      </c>
      <c r="G47" s="4">
        <f t="shared" si="1"/>
        <v>166.805250971334</v>
      </c>
      <c r="H47">
        <v>434.81702426352001</v>
      </c>
      <c r="I47" s="4">
        <f t="shared" si="2"/>
        <v>168.481702426352</v>
      </c>
      <c r="J47">
        <v>360.42823611559999</v>
      </c>
      <c r="K47" s="4">
        <f t="shared" si="3"/>
        <v>161.04282361156001</v>
      </c>
      <c r="L47">
        <v>349.37918550332</v>
      </c>
      <c r="M47" s="4">
        <f t="shared" si="4"/>
        <v>159.937918550332</v>
      </c>
      <c r="N47">
        <v>382.75786721077998</v>
      </c>
      <c r="O47" s="4">
        <f t="shared" si="5"/>
        <v>163.27578672107799</v>
      </c>
      <c r="P47">
        <v>303.66013781106</v>
      </c>
      <c r="Q47" s="4">
        <f t="shared" si="6"/>
        <v>155.36601378110601</v>
      </c>
      <c r="R47">
        <v>370.29245130390001</v>
      </c>
      <c r="S47" s="4">
        <f t="shared" si="7"/>
        <v>162.02924513039</v>
      </c>
      <c r="T47">
        <v>337.22619855545997</v>
      </c>
      <c r="U47" s="4">
        <f t="shared" si="8"/>
        <v>158.72261985554599</v>
      </c>
      <c r="V47">
        <v>325.25094527258</v>
      </c>
      <c r="W47" s="4">
        <f t="shared" si="9"/>
        <v>157.52509452725801</v>
      </c>
      <c r="X47">
        <v>385.41687394939993</v>
      </c>
      <c r="Y47" s="4">
        <f t="shared" si="10"/>
        <v>163.54168739494</v>
      </c>
      <c r="Z47">
        <v>330.31749761081988</v>
      </c>
      <c r="AA47" s="4">
        <f t="shared" si="11"/>
        <v>158.03174976108198</v>
      </c>
      <c r="AB47">
        <v>322.62760301285988</v>
      </c>
      <c r="AC47" s="4">
        <f t="shared" si="12"/>
        <v>157.26276030128599</v>
      </c>
      <c r="AD47">
        <v>410.31475121872</v>
      </c>
      <c r="AE47" s="4">
        <f t="shared" si="13"/>
        <v>166.03147512187201</v>
      </c>
      <c r="AF47">
        <v>371.39580445408001</v>
      </c>
      <c r="AG47" s="4">
        <f t="shared" si="14"/>
        <v>162.139580445408</v>
      </c>
      <c r="AH47">
        <v>351.91857482896</v>
      </c>
      <c r="AI47" s="4">
        <f t="shared" si="15"/>
        <v>160.19185748289601</v>
      </c>
      <c r="AJ47">
        <v>443.34418210104002</v>
      </c>
      <c r="AK47" s="4">
        <f t="shared" si="16"/>
        <v>169.33441821010399</v>
      </c>
      <c r="AL47">
        <v>404.98964272393999</v>
      </c>
      <c r="AM47" s="4">
        <f t="shared" si="17"/>
        <v>165.49896427239401</v>
      </c>
      <c r="AN47">
        <v>395.68356195913998</v>
      </c>
      <c r="AO47" s="4">
        <f t="shared" si="18"/>
        <v>164.56835619591399</v>
      </c>
      <c r="AP47">
        <v>463.52806841787998</v>
      </c>
      <c r="AQ47" s="4">
        <f t="shared" si="19"/>
        <v>171.35280684178801</v>
      </c>
      <c r="AR47">
        <v>424.61493653929989</v>
      </c>
      <c r="AS47" s="4">
        <f t="shared" si="20"/>
        <v>167.46149365393001</v>
      </c>
      <c r="AT47">
        <v>402.66496755157999</v>
      </c>
      <c r="AU47" s="4">
        <f t="shared" si="21"/>
        <v>165.26649675515802</v>
      </c>
      <c r="AV47">
        <v>388.05552178637998</v>
      </c>
      <c r="AW47" s="4">
        <f t="shared" si="22"/>
        <v>163.80555217863801</v>
      </c>
      <c r="AX47">
        <v>411.98574612817998</v>
      </c>
      <c r="AY47" s="4">
        <f t="shared" si="23"/>
        <v>166.19857461281799</v>
      </c>
      <c r="AZ47">
        <v>435.38655529025988</v>
      </c>
      <c r="BA47" s="4">
        <f t="shared" si="24"/>
        <v>168.53865552902599</v>
      </c>
      <c r="BB47">
        <v>334.34698868395998</v>
      </c>
      <c r="BC47" s="4">
        <f t="shared" si="25"/>
        <v>158.434698868396</v>
      </c>
      <c r="BD47">
        <v>345.96541165474002</v>
      </c>
      <c r="BE47" s="4">
        <f t="shared" si="26"/>
        <v>159.59654116547401</v>
      </c>
      <c r="BF47">
        <v>348.87860566678</v>
      </c>
      <c r="BG47" s="4">
        <f t="shared" si="27"/>
        <v>159.887860566678</v>
      </c>
      <c r="BH47">
        <v>358.52865485810003</v>
      </c>
      <c r="BI47" s="4">
        <f t="shared" si="28"/>
        <v>160.85286548581001</v>
      </c>
      <c r="BJ47">
        <v>378.10905966718002</v>
      </c>
      <c r="BK47" s="4">
        <f t="shared" si="29"/>
        <v>162.810905966718</v>
      </c>
      <c r="BL47">
        <v>381.16115916182002</v>
      </c>
      <c r="BM47" s="4">
        <f t="shared" si="30"/>
        <v>163.116115916182</v>
      </c>
      <c r="BN47">
        <v>371.83823985177997</v>
      </c>
      <c r="BO47" s="4">
        <f t="shared" si="31"/>
        <v>162.18382398517801</v>
      </c>
      <c r="BP47">
        <v>389.74391058838</v>
      </c>
      <c r="BQ47" s="4">
        <f t="shared" si="32"/>
        <v>163.97439105883799</v>
      </c>
      <c r="BR47">
        <v>387.45782595041999</v>
      </c>
      <c r="BS47" s="4">
        <f t="shared" si="33"/>
        <v>163.74578259504199</v>
      </c>
      <c r="BT47">
        <v>331.82098522057998</v>
      </c>
      <c r="BU47" s="4">
        <f t="shared" si="34"/>
        <v>158.182098522058</v>
      </c>
      <c r="BV47">
        <v>353.76947278616001</v>
      </c>
      <c r="BW47" s="4">
        <f t="shared" si="35"/>
        <v>160.376947278616</v>
      </c>
      <c r="BX47">
        <v>359.89294604961998</v>
      </c>
      <c r="BY47" s="4">
        <f t="shared" si="36"/>
        <v>160.989294604962</v>
      </c>
      <c r="BZ47">
        <v>378.71597280662002</v>
      </c>
      <c r="CA47" s="4">
        <f t="shared" si="37"/>
        <v>162.871597280662</v>
      </c>
      <c r="CB47">
        <v>432.87430478639999</v>
      </c>
      <c r="CC47" s="4">
        <f t="shared" si="38"/>
        <v>168.28743047864</v>
      </c>
      <c r="CD47">
        <v>434.94485590597998</v>
      </c>
      <c r="CE47" s="4">
        <f t="shared" si="39"/>
        <v>168.494485590598</v>
      </c>
      <c r="CF47">
        <f t="shared" si="40"/>
        <v>162.86351999111611</v>
      </c>
    </row>
    <row r="48" spans="1:84" x14ac:dyDescent="0.2">
      <c r="A48" s="2">
        <v>42050</v>
      </c>
      <c r="B48">
        <v>2018</v>
      </c>
      <c r="C48">
        <v>10</v>
      </c>
      <c r="D48">
        <v>84.906129142338017</v>
      </c>
      <c r="E48" s="4">
        <f t="shared" si="0"/>
        <v>73.371647916841411</v>
      </c>
      <c r="F48">
        <v>84.669554678274011</v>
      </c>
      <c r="G48" s="4">
        <f t="shared" si="1"/>
        <v>73.199261095206438</v>
      </c>
      <c r="H48">
        <v>86.600123043900012</v>
      </c>
      <c r="I48" s="4">
        <f t="shared" si="2"/>
        <v>74.600792945950218</v>
      </c>
      <c r="J48">
        <v>83.497411590660008</v>
      </c>
      <c r="K48" s="4">
        <f t="shared" si="3"/>
        <v>72.342503202915879</v>
      </c>
      <c r="L48">
        <v>95.137055490876008</v>
      </c>
      <c r="M48" s="4">
        <f t="shared" si="4"/>
        <v>80.655360566917579</v>
      </c>
      <c r="N48">
        <v>82.593912262698012</v>
      </c>
      <c r="O48" s="4">
        <f t="shared" si="5"/>
        <v>71.679105314124797</v>
      </c>
      <c r="P48">
        <v>84.291380787474012</v>
      </c>
      <c r="Q48" s="4">
        <f t="shared" si="6"/>
        <v>72.923321787379706</v>
      </c>
      <c r="R48">
        <v>85.629560574473999</v>
      </c>
      <c r="S48" s="4">
        <f t="shared" si="7"/>
        <v>73.89768594378998</v>
      </c>
      <c r="T48">
        <v>86.720905315254001</v>
      </c>
      <c r="U48" s="4">
        <f t="shared" si="8"/>
        <v>74.688080645338403</v>
      </c>
      <c r="V48">
        <v>85.371284904047997</v>
      </c>
      <c r="W48" s="4">
        <f t="shared" si="9"/>
        <v>73.710074846178998</v>
      </c>
      <c r="X48">
        <v>84.321680534928021</v>
      </c>
      <c r="Y48" s="4">
        <f t="shared" si="10"/>
        <v>72.945447241752888</v>
      </c>
      <c r="Z48">
        <v>81.973339262718014</v>
      </c>
      <c r="AA48" s="4">
        <f t="shared" si="11"/>
        <v>71.221933902908944</v>
      </c>
      <c r="AB48">
        <v>79.782320738286003</v>
      </c>
      <c r="AC48" s="4">
        <f t="shared" si="12"/>
        <v>69.597970814467217</v>
      </c>
      <c r="AD48">
        <v>88.456602415770007</v>
      </c>
      <c r="AE48" s="4">
        <f t="shared" si="13"/>
        <v>75.937289598263433</v>
      </c>
      <c r="AF48">
        <v>81.48190183512601</v>
      </c>
      <c r="AG48" s="4">
        <f t="shared" si="14"/>
        <v>70.859021312455425</v>
      </c>
      <c r="AH48">
        <v>81.364075140696002</v>
      </c>
      <c r="AI48" s="4">
        <f t="shared" si="15"/>
        <v>70.77189478309468</v>
      </c>
      <c r="AJ48">
        <v>85.772718783552008</v>
      </c>
      <c r="AK48" s="4">
        <f t="shared" si="16"/>
        <v>74.001583923516336</v>
      </c>
      <c r="AL48">
        <v>99.401303348880006</v>
      </c>
      <c r="AM48" s="4">
        <f t="shared" si="17"/>
        <v>83.592312776950308</v>
      </c>
      <c r="AN48">
        <v>86.932370373402009</v>
      </c>
      <c r="AO48" s="4">
        <f t="shared" si="18"/>
        <v>74.84079114342066</v>
      </c>
      <c r="AP48">
        <v>98.526746098458005</v>
      </c>
      <c r="AQ48" s="4">
        <f t="shared" si="19"/>
        <v>82.994714583657981</v>
      </c>
      <c r="AR48">
        <v>105.18905421483601</v>
      </c>
      <c r="AS48" s="4">
        <f t="shared" si="20"/>
        <v>87.485474812257266</v>
      </c>
      <c r="AT48">
        <v>93.620263941870007</v>
      </c>
      <c r="AU48" s="4">
        <f t="shared" si="21"/>
        <v>79.596657828997365</v>
      </c>
      <c r="AV48">
        <v>89.803442798490011</v>
      </c>
      <c r="AW48" s="4">
        <f t="shared" si="22"/>
        <v>76.899989456951346</v>
      </c>
      <c r="AX48">
        <v>91.009791849876009</v>
      </c>
      <c r="AY48" s="4">
        <f t="shared" si="23"/>
        <v>77.757340309783601</v>
      </c>
      <c r="AZ48">
        <v>88.66883480652001</v>
      </c>
      <c r="BA48" s="4">
        <f t="shared" si="24"/>
        <v>76.089375181006517</v>
      </c>
      <c r="BB48">
        <v>82.906405596414004</v>
      </c>
      <c r="BC48" s="4">
        <f t="shared" si="25"/>
        <v>71.908850254146628</v>
      </c>
      <c r="BD48">
        <v>89.962727943366005</v>
      </c>
      <c r="BE48" s="4">
        <f t="shared" si="26"/>
        <v>77.013460072946657</v>
      </c>
      <c r="BF48">
        <v>86.661491000958009</v>
      </c>
      <c r="BG48" s="4">
        <f t="shared" si="27"/>
        <v>74.645148564943398</v>
      </c>
      <c r="BH48">
        <v>83.407769323008011</v>
      </c>
      <c r="BI48" s="4">
        <f t="shared" si="28"/>
        <v>72.276799749503823</v>
      </c>
      <c r="BJ48">
        <v>92.244641994720013</v>
      </c>
      <c r="BK48" s="4">
        <f t="shared" si="29"/>
        <v>78.630123631945509</v>
      </c>
      <c r="BL48">
        <v>87.562356450792009</v>
      </c>
      <c r="BM48" s="4">
        <f t="shared" si="30"/>
        <v>75.294890423247125</v>
      </c>
      <c r="BN48">
        <v>94.595617164720011</v>
      </c>
      <c r="BO48" s="4">
        <f t="shared" si="31"/>
        <v>80.278287905881186</v>
      </c>
      <c r="BP48">
        <v>96.306544003734018</v>
      </c>
      <c r="BQ48" s="4">
        <f t="shared" si="32"/>
        <v>81.466623335024963</v>
      </c>
      <c r="BR48">
        <v>89.737738781250002</v>
      </c>
      <c r="BS48" s="4">
        <f t="shared" si="33"/>
        <v>76.85315996273502</v>
      </c>
      <c r="BT48">
        <v>87.349504936206003</v>
      </c>
      <c r="BU48" s="4">
        <f t="shared" si="34"/>
        <v>75.141607316045551</v>
      </c>
      <c r="BV48">
        <v>91.301967818622003</v>
      </c>
      <c r="BW48" s="4">
        <f t="shared" si="35"/>
        <v>77.964288894537702</v>
      </c>
      <c r="BX48">
        <v>91.104114308136005</v>
      </c>
      <c r="BY48" s="4">
        <f t="shared" si="36"/>
        <v>77.824178877944135</v>
      </c>
      <c r="BZ48">
        <v>91.721927343684001</v>
      </c>
      <c r="CA48" s="4">
        <f t="shared" si="37"/>
        <v>78.261268214659921</v>
      </c>
      <c r="CB48">
        <v>92.03108181622801</v>
      </c>
      <c r="CC48" s="4">
        <f t="shared" si="38"/>
        <v>78.479529783803599</v>
      </c>
      <c r="CD48">
        <v>91.737386036580006</v>
      </c>
      <c r="CE48" s="4">
        <f t="shared" si="39"/>
        <v>78.272189241660797</v>
      </c>
      <c r="CF48">
        <f t="shared" si="40"/>
        <v>75.875977283198182</v>
      </c>
    </row>
    <row r="49" spans="1:84" x14ac:dyDescent="0.2">
      <c r="A49" s="2">
        <v>42051</v>
      </c>
      <c r="B49">
        <v>2018</v>
      </c>
      <c r="C49">
        <v>11</v>
      </c>
      <c r="D49">
        <v>40.75900322375</v>
      </c>
      <c r="E49" s="4">
        <f t="shared" si="0"/>
        <v>38.100929073680142</v>
      </c>
      <c r="F49">
        <v>34.411051346010012</v>
      </c>
      <c r="G49" s="4">
        <f t="shared" si="1"/>
        <v>32.516458618429631</v>
      </c>
      <c r="H49">
        <v>46.700841432750003</v>
      </c>
      <c r="I49" s="4">
        <f t="shared" si="2"/>
        <v>43.211291687907035</v>
      </c>
      <c r="J49">
        <v>35.083916426501013</v>
      </c>
      <c r="K49" s="4">
        <f t="shared" si="3"/>
        <v>33.114506519586278</v>
      </c>
      <c r="L49">
        <v>57.729252221810007</v>
      </c>
      <c r="M49" s="4">
        <f t="shared" si="4"/>
        <v>52.396985722467043</v>
      </c>
      <c r="N49">
        <v>32.591556123339998</v>
      </c>
      <c r="O49" s="4">
        <f t="shared" si="5"/>
        <v>30.892020874474685</v>
      </c>
      <c r="P49">
        <v>27.919627959292999</v>
      </c>
      <c r="Q49" s="4">
        <f t="shared" si="6"/>
        <v>26.672418958676463</v>
      </c>
      <c r="R49">
        <v>30.996438178155</v>
      </c>
      <c r="S49" s="4">
        <f t="shared" si="7"/>
        <v>29.459191490583503</v>
      </c>
      <c r="T49">
        <v>32.436770846069997</v>
      </c>
      <c r="U49" s="4">
        <f t="shared" si="8"/>
        <v>30.753340281397268</v>
      </c>
      <c r="V49">
        <v>27.653028983963001</v>
      </c>
      <c r="W49" s="4">
        <f t="shared" si="9"/>
        <v>26.429524964782367</v>
      </c>
      <c r="X49">
        <v>30.857511387340001</v>
      </c>
      <c r="Y49" s="4">
        <f t="shared" si="10"/>
        <v>29.334013772908293</v>
      </c>
      <c r="Z49">
        <v>32.722297807686999</v>
      </c>
      <c r="AA49" s="4">
        <f t="shared" si="11"/>
        <v>31.00909976958307</v>
      </c>
      <c r="AB49">
        <v>32.365144996981002</v>
      </c>
      <c r="AC49" s="4">
        <f t="shared" si="12"/>
        <v>30.689140819900032</v>
      </c>
      <c r="AD49">
        <v>27.954497447760009</v>
      </c>
      <c r="AE49" s="4">
        <f t="shared" si="13"/>
        <v>26.704171163669095</v>
      </c>
      <c r="AF49">
        <v>31.441601328021001</v>
      </c>
      <c r="AG49" s="4">
        <f t="shared" si="14"/>
        <v>29.859882457508661</v>
      </c>
      <c r="AH49">
        <v>22.799269491777999</v>
      </c>
      <c r="AI49" s="4">
        <f t="shared" si="15"/>
        <v>21.967578788804047</v>
      </c>
      <c r="AJ49">
        <v>29.686255891451001</v>
      </c>
      <c r="AK49" s="4">
        <f t="shared" si="16"/>
        <v>28.276217829286665</v>
      </c>
      <c r="AL49">
        <v>30.32654527895</v>
      </c>
      <c r="AM49" s="4">
        <f t="shared" si="17"/>
        <v>28.855026321260073</v>
      </c>
      <c r="AN49">
        <v>19.954399734593999</v>
      </c>
      <c r="AO49" s="4">
        <f t="shared" si="18"/>
        <v>19.317314824565255</v>
      </c>
      <c r="AP49">
        <v>30.970429462104999</v>
      </c>
      <c r="AQ49" s="4">
        <f t="shared" si="19"/>
        <v>29.435761460397444</v>
      </c>
      <c r="AR49">
        <v>29.25096941528</v>
      </c>
      <c r="AS49" s="4">
        <f t="shared" si="20"/>
        <v>27.881978676506169</v>
      </c>
      <c r="AT49">
        <v>19.496812640401998</v>
      </c>
      <c r="AU49" s="4">
        <f t="shared" si="21"/>
        <v>18.888611515386096</v>
      </c>
      <c r="AV49">
        <v>19.748324086004999</v>
      </c>
      <c r="AW49" s="4">
        <f t="shared" si="22"/>
        <v>19.124329999275581</v>
      </c>
      <c r="AX49">
        <v>29.702115736410001</v>
      </c>
      <c r="AY49" s="4">
        <f t="shared" si="23"/>
        <v>28.290570649659447</v>
      </c>
      <c r="AZ49">
        <v>27.149362388754</v>
      </c>
      <c r="BA49" s="4">
        <f t="shared" si="24"/>
        <v>25.970021783768573</v>
      </c>
      <c r="BB49">
        <v>20.254100744731002</v>
      </c>
      <c r="BC49" s="4">
        <f t="shared" si="25"/>
        <v>19.597734989566661</v>
      </c>
      <c r="BD49">
        <v>22.335116092761002</v>
      </c>
      <c r="BE49" s="4">
        <f t="shared" si="26"/>
        <v>21.536944235357623</v>
      </c>
      <c r="BF49">
        <v>18.353700078909</v>
      </c>
      <c r="BG49" s="4">
        <f t="shared" si="27"/>
        <v>17.814726788370528</v>
      </c>
      <c r="BH49">
        <v>18.841001586966001</v>
      </c>
      <c r="BI49" s="4">
        <f t="shared" si="28"/>
        <v>18.273028241685914</v>
      </c>
      <c r="BJ49">
        <v>24.82248124521</v>
      </c>
      <c r="BK49" s="4">
        <f t="shared" si="29"/>
        <v>23.836632324939917</v>
      </c>
      <c r="BL49">
        <v>21.879459441314999</v>
      </c>
      <c r="BM49" s="4">
        <f t="shared" si="30"/>
        <v>21.113522248604365</v>
      </c>
      <c r="BN49">
        <v>26.504383368389</v>
      </c>
      <c r="BO49" s="4">
        <f t="shared" si="31"/>
        <v>25.380411628007344</v>
      </c>
      <c r="BP49">
        <v>22.552577314855998</v>
      </c>
      <c r="BQ49" s="4">
        <f t="shared" si="32"/>
        <v>21.738787325187907</v>
      </c>
      <c r="BR49">
        <v>20.147817022712999</v>
      </c>
      <c r="BS49" s="4">
        <f t="shared" si="33"/>
        <v>19.498321773463843</v>
      </c>
      <c r="BT49">
        <v>24.013455051166002</v>
      </c>
      <c r="BU49" s="4">
        <f t="shared" si="34"/>
        <v>23.090821413575011</v>
      </c>
      <c r="BV49">
        <v>28.428700029074999</v>
      </c>
      <c r="BW49" s="4">
        <f t="shared" si="35"/>
        <v>27.135594452525989</v>
      </c>
      <c r="BX49">
        <v>29.842736155040001</v>
      </c>
      <c r="BY49" s="4">
        <f t="shared" si="36"/>
        <v>28.417793913089071</v>
      </c>
      <c r="BZ49">
        <v>24.762839088115001</v>
      </c>
      <c r="CA49" s="4">
        <f t="shared" si="37"/>
        <v>23.781721968588798</v>
      </c>
      <c r="CB49">
        <v>23.776378940636999</v>
      </c>
      <c r="CC49" s="4">
        <f t="shared" si="38"/>
        <v>22.871873027790972</v>
      </c>
      <c r="CD49">
        <v>30.924306066568001</v>
      </c>
      <c r="CE49" s="4">
        <f t="shared" si="39"/>
        <v>29.394205737449962</v>
      </c>
      <c r="CF49">
        <f t="shared" si="40"/>
        <v>27.1134313938554</v>
      </c>
    </row>
    <row r="50" spans="1:84" x14ac:dyDescent="0.2">
      <c r="A50" s="2">
        <v>42052</v>
      </c>
      <c r="B50">
        <v>2018</v>
      </c>
      <c r="C50">
        <v>12</v>
      </c>
      <c r="D50">
        <v>14.314571930813001</v>
      </c>
      <c r="E50" s="4">
        <f t="shared" si="0"/>
        <v>13.98672077951313</v>
      </c>
      <c r="F50">
        <v>14.908839625995</v>
      </c>
      <c r="G50" s="4">
        <f t="shared" si="1"/>
        <v>14.553202027605179</v>
      </c>
      <c r="H50">
        <v>17.976766641386</v>
      </c>
      <c r="I50" s="4">
        <f t="shared" si="2"/>
        <v>17.459704019179846</v>
      </c>
      <c r="J50">
        <v>15.522251143084</v>
      </c>
      <c r="K50" s="4">
        <f t="shared" si="3"/>
        <v>15.136746694205645</v>
      </c>
      <c r="L50">
        <v>22.339915000445</v>
      </c>
      <c r="M50" s="4">
        <f t="shared" si="4"/>
        <v>21.541400116881629</v>
      </c>
      <c r="N50">
        <v>12.937379319606</v>
      </c>
      <c r="O50" s="4">
        <f t="shared" si="5"/>
        <v>12.66957806575101</v>
      </c>
      <c r="P50">
        <v>5.9062812098709996</v>
      </c>
      <c r="Q50" s="4">
        <f t="shared" si="6"/>
        <v>5.8504665575028794</v>
      </c>
      <c r="R50">
        <v>11.729135420443001</v>
      </c>
      <c r="S50" s="4">
        <f t="shared" si="7"/>
        <v>11.509019232105256</v>
      </c>
      <c r="T50">
        <v>10.023673637663</v>
      </c>
      <c r="U50" s="4">
        <f t="shared" si="8"/>
        <v>9.8629151845519925</v>
      </c>
      <c r="V50">
        <v>7.187758667222</v>
      </c>
      <c r="W50" s="4">
        <f t="shared" si="9"/>
        <v>7.1050964677688411</v>
      </c>
      <c r="X50">
        <v>14.063459871069</v>
      </c>
      <c r="Y50" s="4">
        <f t="shared" si="10"/>
        <v>13.747010425396731</v>
      </c>
      <c r="Z50">
        <v>11.903560179763</v>
      </c>
      <c r="AA50" s="4">
        <f t="shared" si="11"/>
        <v>11.676848587837817</v>
      </c>
      <c r="AB50">
        <v>6.6174741870579998</v>
      </c>
      <c r="AC50" s="4">
        <f t="shared" si="12"/>
        <v>6.5474086436717931</v>
      </c>
      <c r="AD50">
        <v>15.826016178805</v>
      </c>
      <c r="AE50" s="4">
        <f t="shared" si="13"/>
        <v>15.425275717858126</v>
      </c>
      <c r="AF50">
        <v>11.01967779241</v>
      </c>
      <c r="AG50" s="4">
        <f t="shared" si="14"/>
        <v>10.825384514572347</v>
      </c>
      <c r="AH50">
        <v>6.7634630570709993</v>
      </c>
      <c r="AI50" s="4">
        <f t="shared" si="15"/>
        <v>6.690271965032017</v>
      </c>
      <c r="AJ50">
        <v>11.529910579411</v>
      </c>
      <c r="AK50" s="4">
        <f t="shared" si="16"/>
        <v>11.317208438660257</v>
      </c>
      <c r="AL50">
        <v>8.5522979757040005</v>
      </c>
      <c r="AM50" s="4">
        <f t="shared" si="17"/>
        <v>8.4352710946396314</v>
      </c>
      <c r="AN50">
        <v>6.57693237313</v>
      </c>
      <c r="AO50" s="4">
        <f t="shared" si="18"/>
        <v>6.5077227100248392</v>
      </c>
      <c r="AP50">
        <v>12.239125021662</v>
      </c>
      <c r="AQ50" s="4">
        <f t="shared" si="19"/>
        <v>11.999451131588604</v>
      </c>
      <c r="AR50">
        <v>6.6031596868159994</v>
      </c>
      <c r="AS50" s="4">
        <f t="shared" si="20"/>
        <v>6.5333969382566517</v>
      </c>
      <c r="AT50">
        <v>1.2463762812970001</v>
      </c>
      <c r="AU50" s="4">
        <f t="shared" si="21"/>
        <v>1.2438907551616727</v>
      </c>
      <c r="AV50">
        <v>3.4879210672109999</v>
      </c>
      <c r="AW50" s="4">
        <f t="shared" si="22"/>
        <v>3.4684561178172491</v>
      </c>
      <c r="AX50">
        <v>3.0217846620989999</v>
      </c>
      <c r="AY50" s="4">
        <f t="shared" si="23"/>
        <v>3.007174770028445</v>
      </c>
      <c r="AZ50">
        <v>2.7234037813779999</v>
      </c>
      <c r="BA50" s="4">
        <f t="shared" si="24"/>
        <v>2.7115366963277214</v>
      </c>
      <c r="BB50">
        <v>4.8304045208510002</v>
      </c>
      <c r="BC50" s="4">
        <f t="shared" si="25"/>
        <v>4.7930720283149073</v>
      </c>
      <c r="BD50">
        <v>5.5750524886629993</v>
      </c>
      <c r="BE50" s="4">
        <f t="shared" si="26"/>
        <v>5.5253225522608433</v>
      </c>
      <c r="BF50">
        <v>5.5916974073169996</v>
      </c>
      <c r="BG50" s="4">
        <f t="shared" si="27"/>
        <v>5.5416700794850069</v>
      </c>
      <c r="BH50">
        <v>4.0689500003739996</v>
      </c>
      <c r="BI50" s="4">
        <f t="shared" si="28"/>
        <v>4.0424598338051299</v>
      </c>
      <c r="BJ50">
        <v>2.7440157531709999</v>
      </c>
      <c r="BK50" s="4">
        <f t="shared" si="29"/>
        <v>2.731968357245159</v>
      </c>
      <c r="BL50">
        <v>2.2168159474790001</v>
      </c>
      <c r="BM50" s="4">
        <f t="shared" si="30"/>
        <v>2.2089531107670046</v>
      </c>
      <c r="BN50">
        <v>3.4609024926559999</v>
      </c>
      <c r="BO50" s="4">
        <f t="shared" si="31"/>
        <v>3.4417379389541236</v>
      </c>
      <c r="BP50">
        <v>3.2926253240299999</v>
      </c>
      <c r="BQ50" s="4">
        <f t="shared" si="32"/>
        <v>3.2752791135908903</v>
      </c>
      <c r="BR50">
        <v>0.249819611335</v>
      </c>
      <c r="BS50" s="4">
        <f t="shared" si="33"/>
        <v>0.24971975559386789</v>
      </c>
      <c r="BT50">
        <v>6.2148321296389986</v>
      </c>
      <c r="BU50" s="4">
        <f t="shared" si="34"/>
        <v>6.1530335081996492</v>
      </c>
      <c r="BV50">
        <v>3.3621555606869999</v>
      </c>
      <c r="BW50" s="4">
        <f t="shared" si="35"/>
        <v>3.3440690166641862</v>
      </c>
      <c r="BX50">
        <v>2.3405768580670001</v>
      </c>
      <c r="BY50" s="4">
        <f t="shared" si="36"/>
        <v>2.3318115780213704</v>
      </c>
      <c r="BZ50">
        <v>0.61774756602299996</v>
      </c>
      <c r="CA50" s="4">
        <f t="shared" si="37"/>
        <v>0.61713698673447626</v>
      </c>
      <c r="CB50">
        <v>0.35994574396899998</v>
      </c>
      <c r="CC50" s="4">
        <f t="shared" si="38"/>
        <v>0.35973844646723774</v>
      </c>
      <c r="CD50">
        <v>0.38639273022699999</v>
      </c>
      <c r="CE50" s="4">
        <f t="shared" si="39"/>
        <v>0.38615385127984431</v>
      </c>
      <c r="CF50">
        <f t="shared" si="40"/>
        <v>7.4326849904507402</v>
      </c>
    </row>
    <row r="51" spans="1:84" x14ac:dyDescent="0.2">
      <c r="A51" s="2">
        <v>42053</v>
      </c>
      <c r="B51">
        <v>2019</v>
      </c>
      <c r="C51">
        <v>1</v>
      </c>
      <c r="D51">
        <v>132.56959315935001</v>
      </c>
      <c r="E51" s="4">
        <f t="shared" si="0"/>
        <v>104.45007791065308</v>
      </c>
      <c r="F51">
        <v>133.26168743880001</v>
      </c>
      <c r="G51" s="4">
        <f t="shared" si="1"/>
        <v>104.84780369634173</v>
      </c>
      <c r="H51">
        <v>174.8352417756</v>
      </c>
      <c r="I51" s="4">
        <f t="shared" si="2"/>
        <v>125.92746294882799</v>
      </c>
      <c r="J51">
        <v>144.72866363700001</v>
      </c>
      <c r="K51" s="4">
        <f t="shared" si="3"/>
        <v>111.214445911957</v>
      </c>
      <c r="L51">
        <v>187.93099605974999</v>
      </c>
      <c r="M51" s="4">
        <f t="shared" si="4"/>
        <v>131.42210121173434</v>
      </c>
      <c r="N51">
        <v>140.8142931747</v>
      </c>
      <c r="O51" s="4">
        <f t="shared" si="5"/>
        <v>109.08842891503544</v>
      </c>
      <c r="P51">
        <v>50.526948445949998</v>
      </c>
      <c r="Q51" s="4">
        <f t="shared" si="6"/>
        <v>46.442192415134492</v>
      </c>
      <c r="R51">
        <v>113.1579074517</v>
      </c>
      <c r="S51" s="4">
        <f t="shared" si="7"/>
        <v>92.670368221543995</v>
      </c>
      <c r="T51">
        <v>76.369042165349995</v>
      </c>
      <c r="U51" s="4">
        <f t="shared" si="8"/>
        <v>67.037473203345186</v>
      </c>
      <c r="V51">
        <v>45.457351116599988</v>
      </c>
      <c r="W51" s="4">
        <f t="shared" si="9"/>
        <v>42.151157883739423</v>
      </c>
      <c r="X51">
        <v>103.8861837453</v>
      </c>
      <c r="Y51" s="4">
        <f t="shared" si="10"/>
        <v>86.618441068240429</v>
      </c>
      <c r="Z51">
        <v>50.034222625650003</v>
      </c>
      <c r="AA51" s="4">
        <f t="shared" si="11"/>
        <v>46.028745131645032</v>
      </c>
      <c r="AB51">
        <v>9.8991174469049987</v>
      </c>
      <c r="AC51" s="4">
        <f t="shared" si="12"/>
        <v>9.7423294049408078</v>
      </c>
      <c r="AD51">
        <v>95.405786642099983</v>
      </c>
      <c r="AE51" s="4">
        <f t="shared" si="13"/>
        <v>80.842164042423335</v>
      </c>
      <c r="AF51">
        <v>40.2248503812</v>
      </c>
      <c r="AG51" s="4">
        <f t="shared" si="14"/>
        <v>37.635988640096116</v>
      </c>
      <c r="AH51">
        <v>0</v>
      </c>
      <c r="AI51" s="4">
        <f t="shared" si="15"/>
        <v>0</v>
      </c>
      <c r="AJ51">
        <v>97.892716937249986</v>
      </c>
      <c r="AK51" s="4">
        <f t="shared" si="16"/>
        <v>82.559942490279496</v>
      </c>
      <c r="AL51">
        <v>56.835735222599993</v>
      </c>
      <c r="AM51" s="4">
        <f t="shared" si="17"/>
        <v>51.667253945330408</v>
      </c>
      <c r="AN51">
        <v>27.2828533914</v>
      </c>
      <c r="AO51" s="4">
        <f t="shared" si="18"/>
        <v>26.091886848717397</v>
      </c>
      <c r="AP51">
        <v>76.186806429479986</v>
      </c>
      <c r="AQ51" s="4">
        <f t="shared" si="19"/>
        <v>66.899719271203097</v>
      </c>
      <c r="AR51">
        <v>72.18233586907499</v>
      </c>
      <c r="AS51" s="4">
        <f t="shared" si="20"/>
        <v>63.845872490649469</v>
      </c>
      <c r="AT51">
        <v>13.525730932829999</v>
      </c>
      <c r="AU51" s="4">
        <f t="shared" si="21"/>
        <v>13.233018297202296</v>
      </c>
      <c r="AV51">
        <v>11.80115002782</v>
      </c>
      <c r="AW51" s="4">
        <f t="shared" si="22"/>
        <v>11.578322600653415</v>
      </c>
      <c r="AX51">
        <v>19.603351049324999</v>
      </c>
      <c r="AY51" s="4">
        <f t="shared" si="23"/>
        <v>18.988484853544087</v>
      </c>
      <c r="AZ51">
        <v>14.96916399114</v>
      </c>
      <c r="BA51" s="4">
        <f t="shared" si="24"/>
        <v>14.610642598190172</v>
      </c>
      <c r="BB51">
        <v>29.197889756595</v>
      </c>
      <c r="BC51" s="4">
        <f t="shared" si="25"/>
        <v>27.833862930613758</v>
      </c>
      <c r="BD51">
        <v>21.264178856474999</v>
      </c>
      <c r="BE51" s="4">
        <f t="shared" si="26"/>
        <v>20.540714372570747</v>
      </c>
      <c r="BF51">
        <v>18.250620761339999</v>
      </c>
      <c r="BG51" s="4">
        <f t="shared" si="27"/>
        <v>17.71768450826119</v>
      </c>
      <c r="BH51">
        <v>14.582552468595001</v>
      </c>
      <c r="BI51" s="4">
        <f t="shared" si="28"/>
        <v>14.242311130196079</v>
      </c>
      <c r="BJ51">
        <v>22.403007338550001</v>
      </c>
      <c r="BK51" s="4">
        <f t="shared" si="29"/>
        <v>21.599975758052203</v>
      </c>
      <c r="BL51">
        <v>15.373856171985</v>
      </c>
      <c r="BM51" s="4">
        <f t="shared" si="30"/>
        <v>14.99568744622999</v>
      </c>
      <c r="BN51">
        <v>20.59544327946</v>
      </c>
      <c r="BO51" s="4">
        <f t="shared" si="31"/>
        <v>19.916767625256075</v>
      </c>
      <c r="BP51">
        <v>18.908294049405001</v>
      </c>
      <c r="BQ51" s="4">
        <f t="shared" si="32"/>
        <v>18.336256315230976</v>
      </c>
      <c r="BR51">
        <v>13.688164327320001</v>
      </c>
      <c r="BS51" s="4">
        <f t="shared" si="33"/>
        <v>13.388378979077256</v>
      </c>
      <c r="BT51">
        <v>35.285336175749997</v>
      </c>
      <c r="BU51" s="4">
        <f t="shared" si="34"/>
        <v>33.293248257292895</v>
      </c>
      <c r="BV51">
        <v>39.166681764000003</v>
      </c>
      <c r="BW51" s="4">
        <f t="shared" si="35"/>
        <v>36.712235427356084</v>
      </c>
      <c r="BX51">
        <v>13.51226755209</v>
      </c>
      <c r="BY51" s="4">
        <f t="shared" si="36"/>
        <v>13.220137353051177</v>
      </c>
      <c r="BZ51">
        <v>14.67282415212</v>
      </c>
      <c r="CA51" s="4">
        <f t="shared" si="37"/>
        <v>14.328357322361544</v>
      </c>
      <c r="CB51">
        <v>13.484526571170001</v>
      </c>
      <c r="CC51" s="4">
        <f t="shared" si="38"/>
        <v>13.193594640212257</v>
      </c>
      <c r="CD51">
        <v>15.864136149089999</v>
      </c>
      <c r="CE51" s="4">
        <f t="shared" si="39"/>
        <v>15.461462843879017</v>
      </c>
      <c r="CF51">
        <f t="shared" si="40"/>
        <v>47.130656179708303</v>
      </c>
    </row>
    <row r="52" spans="1:84" x14ac:dyDescent="0.2">
      <c r="A52" s="2">
        <v>42054</v>
      </c>
      <c r="B52">
        <v>2019</v>
      </c>
      <c r="C52">
        <v>2</v>
      </c>
      <c r="D52">
        <v>3.3944151336480002</v>
      </c>
      <c r="E52" s="4">
        <f t="shared" si="0"/>
        <v>3.3759798470887388</v>
      </c>
      <c r="F52">
        <v>3.76308213624</v>
      </c>
      <c r="G52" s="4">
        <f t="shared" si="1"/>
        <v>3.7404248767774586</v>
      </c>
      <c r="H52">
        <v>4.5804065837039998</v>
      </c>
      <c r="I52" s="4">
        <f t="shared" si="2"/>
        <v>4.5468383845487379</v>
      </c>
      <c r="J52">
        <v>3.4963894501200001</v>
      </c>
      <c r="K52" s="4">
        <f t="shared" si="3"/>
        <v>3.476829867420943</v>
      </c>
      <c r="L52">
        <v>4.7172646294200007</v>
      </c>
      <c r="M52" s="4">
        <f t="shared" si="4"/>
        <v>4.6816604924856371</v>
      </c>
      <c r="N52">
        <v>3.3157020836519999</v>
      </c>
      <c r="O52" s="4">
        <f t="shared" si="5"/>
        <v>3.298111875159945</v>
      </c>
      <c r="P52">
        <v>1.362760903224</v>
      </c>
      <c r="Q52" s="4">
        <f t="shared" si="6"/>
        <v>1.3597895155770308</v>
      </c>
      <c r="R52">
        <v>2.6488729763999999</v>
      </c>
      <c r="S52" s="4">
        <f t="shared" si="7"/>
        <v>2.6376465315278366</v>
      </c>
      <c r="T52">
        <v>2.489304611304</v>
      </c>
      <c r="U52" s="4">
        <f t="shared" si="8"/>
        <v>2.4793899913874253</v>
      </c>
      <c r="V52">
        <v>1.47654826074</v>
      </c>
      <c r="W52" s="4">
        <f t="shared" si="9"/>
        <v>1.4730599491139289</v>
      </c>
      <c r="X52">
        <v>2.3735447787239998</v>
      </c>
      <c r="Y52" s="4">
        <f t="shared" si="10"/>
        <v>2.364530835017427</v>
      </c>
      <c r="Z52">
        <v>1.514238395544</v>
      </c>
      <c r="AA52" s="4">
        <f t="shared" si="11"/>
        <v>1.5105697268743365</v>
      </c>
      <c r="AB52">
        <v>0</v>
      </c>
      <c r="AC52" s="4">
        <f t="shared" si="12"/>
        <v>0</v>
      </c>
      <c r="AD52">
        <v>2.2866987991680001</v>
      </c>
      <c r="AE52" s="4">
        <f t="shared" si="13"/>
        <v>2.2783324129310141</v>
      </c>
      <c r="AF52">
        <v>1.3401488169719999</v>
      </c>
      <c r="AG52" s="4">
        <f t="shared" si="14"/>
        <v>1.3372752188093895</v>
      </c>
      <c r="AH52">
        <v>0</v>
      </c>
      <c r="AI52" s="4">
        <f t="shared" si="15"/>
        <v>0</v>
      </c>
      <c r="AJ52">
        <v>2.6773427066400002</v>
      </c>
      <c r="AK52" s="4">
        <f t="shared" si="16"/>
        <v>2.6658736442899227</v>
      </c>
      <c r="AL52">
        <v>2.052938635776</v>
      </c>
      <c r="AM52" s="4">
        <f t="shared" si="17"/>
        <v>2.0461953445083809</v>
      </c>
      <c r="AN52">
        <v>1.2678270549840001</v>
      </c>
      <c r="AO52" s="4">
        <f t="shared" si="18"/>
        <v>1.265255238277841</v>
      </c>
      <c r="AP52">
        <v>2.8990778619599999</v>
      </c>
      <c r="AQ52" s="4">
        <f t="shared" si="19"/>
        <v>2.8856304180404697</v>
      </c>
      <c r="AR52">
        <v>2.8428212872079999</v>
      </c>
      <c r="AS52" s="4">
        <f t="shared" si="20"/>
        <v>2.8298906746143953</v>
      </c>
      <c r="AT52">
        <v>0</v>
      </c>
      <c r="AU52" s="4">
        <f t="shared" si="21"/>
        <v>0</v>
      </c>
      <c r="AV52">
        <v>0</v>
      </c>
      <c r="AW52" s="4">
        <f t="shared" si="22"/>
        <v>0</v>
      </c>
      <c r="AX52">
        <v>0</v>
      </c>
      <c r="AY52" s="4">
        <f t="shared" si="23"/>
        <v>0</v>
      </c>
      <c r="AZ52">
        <v>0</v>
      </c>
      <c r="BA52" s="4">
        <f t="shared" si="24"/>
        <v>0</v>
      </c>
      <c r="BB52">
        <v>1.399252172472</v>
      </c>
      <c r="BC52" s="4">
        <f t="shared" si="25"/>
        <v>1.3961195218445317</v>
      </c>
      <c r="BD52">
        <v>1.260660235464</v>
      </c>
      <c r="BE52" s="4">
        <f t="shared" si="26"/>
        <v>1.2581174126971517</v>
      </c>
      <c r="BF52">
        <v>1.3406437681559999</v>
      </c>
      <c r="BG52" s="4">
        <f t="shared" si="27"/>
        <v>1.3377680470150473</v>
      </c>
      <c r="BH52">
        <v>0</v>
      </c>
      <c r="BI52" s="4">
        <f t="shared" si="28"/>
        <v>0</v>
      </c>
      <c r="BJ52">
        <v>0</v>
      </c>
      <c r="BK52" s="4">
        <f t="shared" si="29"/>
        <v>0</v>
      </c>
      <c r="BL52">
        <v>0</v>
      </c>
      <c r="BM52" s="4">
        <f t="shared" si="30"/>
        <v>0</v>
      </c>
      <c r="BN52">
        <v>1.5929590761000001</v>
      </c>
      <c r="BO52" s="4">
        <f t="shared" si="31"/>
        <v>1.5888990463109931</v>
      </c>
      <c r="BP52">
        <v>1.67972538762</v>
      </c>
      <c r="BQ52" s="4">
        <f t="shared" si="32"/>
        <v>1.6752110238154958</v>
      </c>
      <c r="BR52">
        <v>0</v>
      </c>
      <c r="BS52" s="4">
        <f t="shared" si="33"/>
        <v>0</v>
      </c>
      <c r="BT52">
        <v>0</v>
      </c>
      <c r="BU52" s="4">
        <f t="shared" si="34"/>
        <v>0</v>
      </c>
      <c r="BV52">
        <v>1.2706165780559999</v>
      </c>
      <c r="BW52" s="4">
        <f t="shared" si="35"/>
        <v>1.268033431674511</v>
      </c>
      <c r="BX52">
        <v>0</v>
      </c>
      <c r="BY52" s="4">
        <f t="shared" si="36"/>
        <v>0</v>
      </c>
      <c r="BZ52">
        <v>0</v>
      </c>
      <c r="CA52" s="4">
        <f t="shared" si="37"/>
        <v>0</v>
      </c>
      <c r="CB52">
        <v>0</v>
      </c>
      <c r="CC52" s="4">
        <f t="shared" si="38"/>
        <v>0</v>
      </c>
      <c r="CD52">
        <v>1.382792970636</v>
      </c>
      <c r="CE52" s="4">
        <f t="shared" si="39"/>
        <v>1.3797335843965755</v>
      </c>
      <c r="CF52">
        <f t="shared" si="40"/>
        <v>1.5274905466502391</v>
      </c>
    </row>
    <row r="53" spans="1:84" x14ac:dyDescent="0.2">
      <c r="A53" s="2">
        <v>42055</v>
      </c>
      <c r="B53">
        <v>2019</v>
      </c>
      <c r="C53">
        <v>3</v>
      </c>
      <c r="D53">
        <v>1.04271308901</v>
      </c>
      <c r="E53" s="4">
        <f t="shared" si="0"/>
        <v>1.0409734880724115</v>
      </c>
      <c r="F53">
        <v>1.1678686737299999</v>
      </c>
      <c r="G53" s="4">
        <f t="shared" si="1"/>
        <v>1.1656864061474721</v>
      </c>
      <c r="H53">
        <v>1.33355278017</v>
      </c>
      <c r="I53" s="4">
        <f t="shared" si="2"/>
        <v>1.3307073993420016</v>
      </c>
      <c r="J53">
        <v>0.98744700914999994</v>
      </c>
      <c r="K53" s="4">
        <f t="shared" si="3"/>
        <v>0.98588692659659305</v>
      </c>
      <c r="L53">
        <v>1.3525251817499999</v>
      </c>
      <c r="M53" s="4">
        <f t="shared" si="4"/>
        <v>1.3495982627623715</v>
      </c>
      <c r="N53">
        <v>1.03420258992</v>
      </c>
      <c r="O53" s="4">
        <f t="shared" si="5"/>
        <v>1.0324912699248043</v>
      </c>
      <c r="P53">
        <v>0.56493838556999998</v>
      </c>
      <c r="Q53" s="4">
        <f t="shared" si="6"/>
        <v>0.56442773696281534</v>
      </c>
      <c r="R53">
        <v>0.78686268569999995</v>
      </c>
      <c r="S53" s="4">
        <f t="shared" si="7"/>
        <v>0.7858720410821648</v>
      </c>
      <c r="T53">
        <v>0.74656296729000005</v>
      </c>
      <c r="U53" s="4">
        <f t="shared" si="8"/>
        <v>0.74567119726739384</v>
      </c>
      <c r="V53">
        <v>0.59882614370999998</v>
      </c>
      <c r="W53" s="4">
        <f t="shared" si="9"/>
        <v>0.59825239530937502</v>
      </c>
      <c r="X53">
        <v>0.76406204222999996</v>
      </c>
      <c r="Y53" s="4">
        <f t="shared" si="10"/>
        <v>0.76312797694299728</v>
      </c>
      <c r="Z53">
        <v>0.58977255105000004</v>
      </c>
      <c r="AA53" s="4">
        <f t="shared" si="11"/>
        <v>0.58921602039084486</v>
      </c>
      <c r="AB53">
        <v>0</v>
      </c>
      <c r="AC53" s="4">
        <f t="shared" si="12"/>
        <v>0</v>
      </c>
      <c r="AD53">
        <v>0.74373463160999997</v>
      </c>
      <c r="AE53" s="4">
        <f t="shared" si="13"/>
        <v>0.74284960568639025</v>
      </c>
      <c r="AF53">
        <v>0.56620211363999995</v>
      </c>
      <c r="AG53" s="4">
        <f t="shared" si="14"/>
        <v>0.56568917790641537</v>
      </c>
      <c r="AH53">
        <v>0</v>
      </c>
      <c r="AI53" s="4">
        <f t="shared" si="15"/>
        <v>0</v>
      </c>
      <c r="AJ53">
        <v>0.89132050034999999</v>
      </c>
      <c r="AK53" s="4">
        <f t="shared" si="16"/>
        <v>0.89004937677504936</v>
      </c>
      <c r="AL53">
        <v>0.69933076865999988</v>
      </c>
      <c r="AM53" s="4">
        <f t="shared" si="17"/>
        <v>0.69854826702160855</v>
      </c>
      <c r="AN53">
        <v>0.51558142661999995</v>
      </c>
      <c r="AO53" s="4">
        <f t="shared" si="18"/>
        <v>0.51515610788803901</v>
      </c>
      <c r="AP53">
        <v>1.0107646750799999</v>
      </c>
      <c r="AQ53" s="4">
        <f t="shared" si="19"/>
        <v>1.0091300427145766</v>
      </c>
      <c r="AR53">
        <v>0.99258809570999995</v>
      </c>
      <c r="AS53" s="4">
        <f t="shared" si="20"/>
        <v>0.99101172590560771</v>
      </c>
      <c r="AT53">
        <v>0</v>
      </c>
      <c r="AU53" s="4">
        <f t="shared" si="21"/>
        <v>0</v>
      </c>
      <c r="AV53">
        <v>0</v>
      </c>
      <c r="AW53" s="4">
        <f t="shared" si="22"/>
        <v>0</v>
      </c>
      <c r="AX53">
        <v>0.49955323212000002</v>
      </c>
      <c r="AY53" s="4">
        <f t="shared" si="23"/>
        <v>0.49915394662924556</v>
      </c>
      <c r="AZ53">
        <v>0.49096776014999988</v>
      </c>
      <c r="BA53" s="4">
        <f t="shared" si="24"/>
        <v>0.49058208120358915</v>
      </c>
      <c r="BB53">
        <v>0.45950325966</v>
      </c>
      <c r="BC53" s="4">
        <f t="shared" si="25"/>
        <v>0.45916543046697894</v>
      </c>
      <c r="BD53">
        <v>0</v>
      </c>
      <c r="BE53" s="4">
        <f t="shared" si="26"/>
        <v>0</v>
      </c>
      <c r="BF53">
        <v>0.48159618614999999</v>
      </c>
      <c r="BG53" s="4">
        <f t="shared" si="27"/>
        <v>0.48122509033157723</v>
      </c>
      <c r="BH53">
        <v>0</v>
      </c>
      <c r="BI53" s="4">
        <f t="shared" si="28"/>
        <v>0</v>
      </c>
      <c r="BJ53">
        <v>0.49566518775000001</v>
      </c>
      <c r="BK53" s="4">
        <f t="shared" si="29"/>
        <v>0.4952720933846444</v>
      </c>
      <c r="BL53">
        <v>0.46835399151000001</v>
      </c>
      <c r="BM53" s="4">
        <f t="shared" si="30"/>
        <v>0.46800302277181866</v>
      </c>
      <c r="BN53">
        <v>0.51647089004999991</v>
      </c>
      <c r="BO53" s="4">
        <f t="shared" si="31"/>
        <v>0.51604410256156941</v>
      </c>
      <c r="BP53">
        <v>0.54105698348999998</v>
      </c>
      <c r="BQ53" s="4">
        <f t="shared" si="32"/>
        <v>0.54058859523498681</v>
      </c>
      <c r="BR53">
        <v>0</v>
      </c>
      <c r="BS53" s="4">
        <f t="shared" si="33"/>
        <v>0</v>
      </c>
      <c r="BT53">
        <v>0.48746552471999999</v>
      </c>
      <c r="BU53" s="4">
        <f t="shared" si="34"/>
        <v>0.48708532849953512</v>
      </c>
      <c r="BV53">
        <v>0.55647219662999992</v>
      </c>
      <c r="BW53" s="4">
        <f t="shared" si="35"/>
        <v>0.55597673854100438</v>
      </c>
      <c r="BX53">
        <v>0</v>
      </c>
      <c r="BY53" s="4">
        <f t="shared" si="36"/>
        <v>0</v>
      </c>
      <c r="BZ53">
        <v>0</v>
      </c>
      <c r="CA53" s="4">
        <f t="shared" si="37"/>
        <v>0</v>
      </c>
      <c r="CB53">
        <v>0.48626368047000001</v>
      </c>
      <c r="CC53" s="4">
        <f t="shared" si="38"/>
        <v>0.48588535668288924</v>
      </c>
      <c r="CD53">
        <v>0.62574833393999996</v>
      </c>
      <c r="CE53" s="4">
        <f t="shared" si="39"/>
        <v>0.62512183637611407</v>
      </c>
      <c r="CF53">
        <f t="shared" si="40"/>
        <v>0.56711306727209188</v>
      </c>
    </row>
    <row r="54" spans="1:84" x14ac:dyDescent="0.2">
      <c r="A54" s="2">
        <v>42056</v>
      </c>
      <c r="B54">
        <v>2019</v>
      </c>
      <c r="C54">
        <v>4</v>
      </c>
      <c r="D54">
        <v>14.147408141753999</v>
      </c>
      <c r="E54" s="4">
        <f t="shared" si="0"/>
        <v>13.827169490347011</v>
      </c>
      <c r="F54">
        <v>18.733994614232</v>
      </c>
      <c r="G54" s="4">
        <f t="shared" si="1"/>
        <v>18.172454527502282</v>
      </c>
      <c r="H54">
        <v>20.331780322387999</v>
      </c>
      <c r="I54" s="4">
        <f t="shared" si="2"/>
        <v>19.67037025666345</v>
      </c>
      <c r="J54">
        <v>12.642831621068</v>
      </c>
      <c r="K54" s="4">
        <f t="shared" si="3"/>
        <v>12.387085714830116</v>
      </c>
      <c r="L54">
        <v>16.520392025698001</v>
      </c>
      <c r="M54" s="4">
        <f t="shared" si="4"/>
        <v>16.083714661405608</v>
      </c>
      <c r="N54">
        <v>12.432010134405999</v>
      </c>
      <c r="O54" s="4">
        <f t="shared" si="5"/>
        <v>12.184722332834843</v>
      </c>
      <c r="P54">
        <v>12.096313997824</v>
      </c>
      <c r="Q54" s="4">
        <f t="shared" si="6"/>
        <v>11.862200698089675</v>
      </c>
      <c r="R54">
        <v>10.384223368418001</v>
      </c>
      <c r="S54" s="4">
        <f t="shared" si="7"/>
        <v>10.211692016473684</v>
      </c>
      <c r="T54">
        <v>10.32104651433</v>
      </c>
      <c r="U54" s="4">
        <f t="shared" si="8"/>
        <v>10.150608112488458</v>
      </c>
      <c r="V54">
        <v>9.6847080674260013</v>
      </c>
      <c r="W54" s="4">
        <f t="shared" si="9"/>
        <v>9.5346383548639757</v>
      </c>
      <c r="X54">
        <v>9.6284710701720009</v>
      </c>
      <c r="Y54" s="4">
        <f t="shared" si="10"/>
        <v>9.48013914193338</v>
      </c>
      <c r="Z54">
        <v>7.0711950531619996</v>
      </c>
      <c r="AA54" s="4">
        <f t="shared" si="11"/>
        <v>6.9911921739942189</v>
      </c>
      <c r="AB54">
        <v>4.3426220569279996</v>
      </c>
      <c r="AC54" s="4">
        <f t="shared" si="12"/>
        <v>4.3124486708010918</v>
      </c>
      <c r="AD54">
        <v>10.48977941918</v>
      </c>
      <c r="AE54" s="4">
        <f t="shared" si="13"/>
        <v>10.313722663559115</v>
      </c>
      <c r="AF54">
        <v>6.9381560911479996</v>
      </c>
      <c r="AG54" s="4">
        <f t="shared" si="14"/>
        <v>6.8611352752357853</v>
      </c>
      <c r="AH54">
        <v>5.2458499972300006</v>
      </c>
      <c r="AI54" s="4">
        <f t="shared" si="15"/>
        <v>5.2018196897204998</v>
      </c>
      <c r="AJ54">
        <v>14.711843980622</v>
      </c>
      <c r="AK54" s="4">
        <f t="shared" si="16"/>
        <v>14.365542615325738</v>
      </c>
      <c r="AL54">
        <v>12.901003059765999</v>
      </c>
      <c r="AM54" s="4">
        <f t="shared" si="17"/>
        <v>12.634705651849051</v>
      </c>
      <c r="AN54">
        <v>10.932526319054</v>
      </c>
      <c r="AO54" s="4">
        <f t="shared" si="18"/>
        <v>10.741294108307107</v>
      </c>
      <c r="AP54">
        <v>16.942874204100001</v>
      </c>
      <c r="AQ54" s="4">
        <f t="shared" si="19"/>
        <v>16.483576626026469</v>
      </c>
      <c r="AR54">
        <v>17.434884927214</v>
      </c>
      <c r="AS54" s="4">
        <f t="shared" si="20"/>
        <v>16.94852458733369</v>
      </c>
      <c r="AT54">
        <v>13.824973846821999</v>
      </c>
      <c r="AU54" s="4">
        <f t="shared" si="21"/>
        <v>13.519166003837499</v>
      </c>
      <c r="AV54">
        <v>9.7405123830459992</v>
      </c>
      <c r="AW54" s="4">
        <f t="shared" si="22"/>
        <v>9.5887082526711644</v>
      </c>
      <c r="AX54">
        <v>12.24761057331</v>
      </c>
      <c r="AY54" s="4">
        <f t="shared" si="23"/>
        <v>12.007604229701272</v>
      </c>
      <c r="AZ54">
        <v>12.936200716066001</v>
      </c>
      <c r="BA54" s="4">
        <f t="shared" si="24"/>
        <v>12.668448253719847</v>
      </c>
      <c r="BB54">
        <v>13.502111459782</v>
      </c>
      <c r="BC54" s="4">
        <f t="shared" si="25"/>
        <v>13.210420237586199</v>
      </c>
      <c r="BD54">
        <v>13.614705237388</v>
      </c>
      <c r="BE54" s="4">
        <f t="shared" si="26"/>
        <v>13.318128919466462</v>
      </c>
      <c r="BF54">
        <v>13.477855388914</v>
      </c>
      <c r="BG54" s="4">
        <f t="shared" si="27"/>
        <v>13.187211251498836</v>
      </c>
      <c r="BH54">
        <v>13.513901534245999</v>
      </c>
      <c r="BI54" s="4">
        <f t="shared" si="28"/>
        <v>13.221700678762325</v>
      </c>
      <c r="BJ54">
        <v>11.50058661143</v>
      </c>
      <c r="BK54" s="4">
        <f t="shared" si="29"/>
        <v>11.288965023578795</v>
      </c>
      <c r="BL54">
        <v>15.130363775026</v>
      </c>
      <c r="BM54" s="4">
        <f t="shared" si="30"/>
        <v>14.764079122282608</v>
      </c>
      <c r="BN54">
        <v>15.88944067089</v>
      </c>
      <c r="BO54" s="4">
        <f t="shared" si="31"/>
        <v>15.485481751156026</v>
      </c>
      <c r="BP54">
        <v>17.947476912441999</v>
      </c>
      <c r="BQ54" s="4">
        <f t="shared" si="32"/>
        <v>17.432097828405777</v>
      </c>
      <c r="BR54">
        <v>14.250173953494</v>
      </c>
      <c r="BS54" s="4">
        <f t="shared" si="33"/>
        <v>13.925266021166259</v>
      </c>
      <c r="BT54">
        <v>11.735089197796</v>
      </c>
      <c r="BU54" s="4">
        <f t="shared" si="34"/>
        <v>11.514749488227634</v>
      </c>
      <c r="BV54">
        <v>11.492436190342</v>
      </c>
      <c r="BW54" s="4">
        <f t="shared" si="35"/>
        <v>11.281114446999467</v>
      </c>
      <c r="BX54">
        <v>8.3643292631800001</v>
      </c>
      <c r="BY54" s="4">
        <f t="shared" si="36"/>
        <v>8.2523900567433781</v>
      </c>
      <c r="BZ54">
        <v>10.116589327106</v>
      </c>
      <c r="CA54" s="4">
        <f t="shared" si="37"/>
        <v>9.9528367197246954</v>
      </c>
      <c r="CB54">
        <v>13.298953860001999</v>
      </c>
      <c r="CC54" s="4">
        <f t="shared" si="38"/>
        <v>13.01597438196926</v>
      </c>
      <c r="CD54">
        <v>16.246369038057999</v>
      </c>
      <c r="CE54" s="4">
        <f t="shared" si="39"/>
        <v>15.824057826984768</v>
      </c>
      <c r="CF54">
        <f t="shared" si="40"/>
        <v>12.236929775681691</v>
      </c>
    </row>
    <row r="55" spans="1:84" x14ac:dyDescent="0.2">
      <c r="A55" s="2">
        <v>42057</v>
      </c>
      <c r="B55">
        <v>2019</v>
      </c>
      <c r="C55">
        <v>5</v>
      </c>
      <c r="D55">
        <v>112.581683734145</v>
      </c>
      <c r="E55" s="4">
        <f t="shared" si="0"/>
        <v>92.302266914280935</v>
      </c>
      <c r="F55">
        <v>114.61423222712</v>
      </c>
      <c r="G55" s="4">
        <f t="shared" si="1"/>
        <v>93.595956660700494</v>
      </c>
      <c r="H55">
        <v>133.66464428192501</v>
      </c>
      <c r="I55" s="4">
        <f t="shared" si="2"/>
        <v>105.07866487230334</v>
      </c>
      <c r="J55">
        <v>111.560636845885</v>
      </c>
      <c r="K55" s="4">
        <f t="shared" si="3"/>
        <v>91.647395736349907</v>
      </c>
      <c r="L55">
        <v>127.17486689303</v>
      </c>
      <c r="M55" s="4">
        <f t="shared" si="4"/>
        <v>101.29735206221416</v>
      </c>
      <c r="N55">
        <v>112.157393608175</v>
      </c>
      <c r="O55" s="4">
        <f t="shared" si="5"/>
        <v>92.030544102608445</v>
      </c>
      <c r="P55">
        <v>99.028336683134995</v>
      </c>
      <c r="Q55" s="4">
        <f t="shared" si="6"/>
        <v>83.337758337169646</v>
      </c>
      <c r="R55">
        <v>99.133339557555004</v>
      </c>
      <c r="S55" s="4">
        <f t="shared" si="7"/>
        <v>83.40946913862139</v>
      </c>
      <c r="T55">
        <v>95.850676324069994</v>
      </c>
      <c r="U55" s="4">
        <f t="shared" si="8"/>
        <v>81.150912881219384</v>
      </c>
      <c r="V55">
        <v>93.996298061594999</v>
      </c>
      <c r="W55" s="4">
        <f t="shared" si="9"/>
        <v>79.859811582740264</v>
      </c>
      <c r="X55">
        <v>100.754482681425</v>
      </c>
      <c r="Y55" s="4">
        <f t="shared" si="10"/>
        <v>84.512137432782495</v>
      </c>
      <c r="Z55">
        <v>89.780390989124996</v>
      </c>
      <c r="AA55" s="4">
        <f t="shared" si="11"/>
        <v>76.883561219268742</v>
      </c>
      <c r="AB55">
        <v>84.444163895960003</v>
      </c>
      <c r="AC55" s="4">
        <f t="shared" si="12"/>
        <v>73.034856990219595</v>
      </c>
      <c r="AD55">
        <v>101.13708779314</v>
      </c>
      <c r="AE55" s="4">
        <f t="shared" si="13"/>
        <v>84.771150949496302</v>
      </c>
      <c r="AF55">
        <v>92.323257105810001</v>
      </c>
      <c r="AG55" s="4">
        <f t="shared" si="14"/>
        <v>78.6855230216092</v>
      </c>
      <c r="AH55">
        <v>90.067987061729994</v>
      </c>
      <c r="AI55" s="4">
        <f t="shared" si="15"/>
        <v>77.088399392366867</v>
      </c>
      <c r="AJ55">
        <v>104.04010935463501</v>
      </c>
      <c r="AK55" s="4">
        <f t="shared" si="16"/>
        <v>86.721158387395946</v>
      </c>
      <c r="AL55">
        <v>106.551811202195</v>
      </c>
      <c r="AM55" s="4">
        <f t="shared" si="17"/>
        <v>88.386549649445868</v>
      </c>
      <c r="AN55">
        <v>101.57803011378</v>
      </c>
      <c r="AO55" s="4">
        <f t="shared" si="18"/>
        <v>85.069076190906401</v>
      </c>
      <c r="AP55">
        <v>117.886844169285</v>
      </c>
      <c r="AQ55" s="4">
        <f t="shared" si="19"/>
        <v>95.651151324175729</v>
      </c>
      <c r="AR55">
        <v>112.01806508331001</v>
      </c>
      <c r="AS55" s="4">
        <f t="shared" si="20"/>
        <v>91.941190035296117</v>
      </c>
      <c r="AT55">
        <v>96.100894705735001</v>
      </c>
      <c r="AU55" s="4">
        <f t="shared" si="21"/>
        <v>81.324283564546576</v>
      </c>
      <c r="AV55">
        <v>88.378217467515</v>
      </c>
      <c r="AW55" s="4">
        <f t="shared" si="22"/>
        <v>75.881082551138405</v>
      </c>
      <c r="AX55">
        <v>104.98929482449</v>
      </c>
      <c r="AY55" s="4">
        <f t="shared" si="23"/>
        <v>87.352891580100106</v>
      </c>
      <c r="AZ55">
        <v>108.2271082771</v>
      </c>
      <c r="BA55" s="4">
        <f t="shared" si="24"/>
        <v>89.486137131463011</v>
      </c>
      <c r="BB55">
        <v>91.088567716095</v>
      </c>
      <c r="BC55" s="4">
        <f t="shared" si="25"/>
        <v>77.813164246383607</v>
      </c>
      <c r="BD55">
        <v>91.887423558374991</v>
      </c>
      <c r="BE55" s="4">
        <f t="shared" si="26"/>
        <v>78.378145785261069</v>
      </c>
      <c r="BF55">
        <v>92.109237738014997</v>
      </c>
      <c r="BG55" s="4">
        <f t="shared" si="27"/>
        <v>78.534659055329925</v>
      </c>
      <c r="BH55">
        <v>93.035897919764992</v>
      </c>
      <c r="BI55" s="4">
        <f t="shared" si="28"/>
        <v>79.186812636985891</v>
      </c>
      <c r="BJ55">
        <v>92.371497580370004</v>
      </c>
      <c r="BK55" s="4">
        <f t="shared" si="29"/>
        <v>78.719507875985528</v>
      </c>
      <c r="BL55">
        <v>93.529645668339995</v>
      </c>
      <c r="BM55" s="4">
        <f t="shared" si="30"/>
        <v>79.53317427818763</v>
      </c>
      <c r="BN55">
        <v>97.705755445980003</v>
      </c>
      <c r="BO55" s="4">
        <f t="shared" si="31"/>
        <v>82.431492010348563</v>
      </c>
      <c r="BP55">
        <v>94.473315918984994</v>
      </c>
      <c r="BQ55" s="4">
        <f t="shared" si="32"/>
        <v>80.192984045819642</v>
      </c>
      <c r="BR55">
        <v>94.33725609769499</v>
      </c>
      <c r="BS55" s="4">
        <f t="shared" si="33"/>
        <v>80.098027476827639</v>
      </c>
      <c r="BT55">
        <v>92.723585177734989</v>
      </c>
      <c r="BU55" s="4">
        <f t="shared" si="34"/>
        <v>78.967323980594713</v>
      </c>
      <c r="BV55">
        <v>90.150588798344998</v>
      </c>
      <c r="BW55" s="4">
        <f t="shared" si="35"/>
        <v>77.147182941243742</v>
      </c>
      <c r="BX55">
        <v>87.582093895529994</v>
      </c>
      <c r="BY55" s="4">
        <f t="shared" si="36"/>
        <v>75.309096821729298</v>
      </c>
      <c r="BZ55">
        <v>90.413515945409998</v>
      </c>
      <c r="CA55" s="4">
        <f t="shared" si="37"/>
        <v>77.334149760432538</v>
      </c>
      <c r="CB55">
        <v>104.189394451775</v>
      </c>
      <c r="CC55" s="4">
        <f t="shared" si="38"/>
        <v>86.820706585810896</v>
      </c>
      <c r="CD55">
        <v>106.235127775965</v>
      </c>
      <c r="CE55" s="4">
        <f t="shared" si="39"/>
        <v>88.177683978244019</v>
      </c>
      <c r="CF55">
        <f t="shared" si="40"/>
        <v>83.949776682461803</v>
      </c>
    </row>
    <row r="56" spans="1:84" x14ac:dyDescent="0.2">
      <c r="A56" s="2">
        <v>42058</v>
      </c>
      <c r="B56">
        <v>2019</v>
      </c>
      <c r="C56">
        <v>6</v>
      </c>
      <c r="D56">
        <v>201.315827279931</v>
      </c>
      <c r="E56" s="4">
        <f t="shared" si="0"/>
        <v>136.47092757848614</v>
      </c>
      <c r="F56">
        <v>216.69353936252099</v>
      </c>
      <c r="G56" s="4">
        <f t="shared" si="1"/>
        <v>141.56379536019071</v>
      </c>
      <c r="H56">
        <v>185.42518195269901</v>
      </c>
      <c r="I56" s="4">
        <f t="shared" si="2"/>
        <v>130.41318498919253</v>
      </c>
      <c r="J56">
        <v>208.97349672182099</v>
      </c>
      <c r="K56" s="4">
        <f t="shared" si="3"/>
        <v>139.10162099038908</v>
      </c>
      <c r="L56">
        <v>192.98324237875801</v>
      </c>
      <c r="M56" s="4">
        <f t="shared" si="4"/>
        <v>133.39519143632845</v>
      </c>
      <c r="N56">
        <v>212.78159255152801</v>
      </c>
      <c r="O56" s="4">
        <f t="shared" si="5"/>
        <v>140.33998274550484</v>
      </c>
      <c r="P56">
        <v>202.38121857673201</v>
      </c>
      <c r="Q56" s="4">
        <f t="shared" si="6"/>
        <v>136.84816636456725</v>
      </c>
      <c r="R56">
        <v>226.101319269306</v>
      </c>
      <c r="S56" s="4">
        <f t="shared" si="7"/>
        <v>144.30642874879294</v>
      </c>
      <c r="T56">
        <v>211.24614436836299</v>
      </c>
      <c r="U56" s="4">
        <f t="shared" si="8"/>
        <v>139.84625075156418</v>
      </c>
      <c r="V56">
        <v>226.43746641079201</v>
      </c>
      <c r="W56" s="4">
        <f t="shared" si="9"/>
        <v>144.39918449953029</v>
      </c>
      <c r="X56">
        <v>231.11913635393699</v>
      </c>
      <c r="Y56" s="4">
        <f t="shared" si="10"/>
        <v>145.65344805155343</v>
      </c>
      <c r="Z56">
        <v>236.528595282135</v>
      </c>
      <c r="AA56" s="4">
        <f t="shared" si="11"/>
        <v>147.015353064311</v>
      </c>
      <c r="AB56">
        <v>253.91357769078601</v>
      </c>
      <c r="AC56" s="4">
        <f t="shared" si="12"/>
        <v>150.39135776907861</v>
      </c>
      <c r="AD56">
        <v>236.47590175474201</v>
      </c>
      <c r="AE56" s="4">
        <f t="shared" si="13"/>
        <v>147.00253837759254</v>
      </c>
      <c r="AF56">
        <v>234.23289262112999</v>
      </c>
      <c r="AG56" s="4">
        <f t="shared" si="14"/>
        <v>146.44881584407108</v>
      </c>
      <c r="AH56">
        <v>263.40662392500298</v>
      </c>
      <c r="AI56" s="4">
        <f t="shared" si="15"/>
        <v>151.34066239250029</v>
      </c>
      <c r="AJ56">
        <v>234.12893396751301</v>
      </c>
      <c r="AK56" s="4">
        <f t="shared" si="16"/>
        <v>146.42276161429049</v>
      </c>
      <c r="AL56">
        <v>234.21252798781501</v>
      </c>
      <c r="AM56" s="4">
        <f t="shared" si="17"/>
        <v>146.44371476150616</v>
      </c>
      <c r="AN56">
        <v>258.55259237355602</v>
      </c>
      <c r="AO56" s="4">
        <f t="shared" si="18"/>
        <v>150.8552592373556</v>
      </c>
      <c r="AP56">
        <v>246.56513457891899</v>
      </c>
      <c r="AQ56" s="4">
        <f t="shared" si="19"/>
        <v>149.2941496350463</v>
      </c>
      <c r="AR56">
        <v>252.80943583244701</v>
      </c>
      <c r="AS56" s="4">
        <f t="shared" si="20"/>
        <v>150.28094358324469</v>
      </c>
      <c r="AT56">
        <v>311.085938267286</v>
      </c>
      <c r="AU56" s="4">
        <f t="shared" si="21"/>
        <v>156.10859382672859</v>
      </c>
      <c r="AV56">
        <v>285.16900803417002</v>
      </c>
      <c r="AW56" s="4">
        <f t="shared" si="22"/>
        <v>153.516900803417</v>
      </c>
      <c r="AX56">
        <v>288.39905702201099</v>
      </c>
      <c r="AY56" s="4">
        <f t="shared" si="23"/>
        <v>153.83990570220109</v>
      </c>
      <c r="AZ56">
        <v>297.601890407913</v>
      </c>
      <c r="BA56" s="4">
        <f t="shared" si="24"/>
        <v>154.76018904079132</v>
      </c>
      <c r="BB56">
        <v>247.58331713937901</v>
      </c>
      <c r="BC56" s="4">
        <f t="shared" si="25"/>
        <v>149.50731885819766</v>
      </c>
      <c r="BD56">
        <v>269.35718107689303</v>
      </c>
      <c r="BE56" s="4">
        <f t="shared" si="26"/>
        <v>151.9357181076893</v>
      </c>
      <c r="BF56">
        <v>300.79925479929</v>
      </c>
      <c r="BG56" s="4">
        <f t="shared" si="27"/>
        <v>155.07992547992899</v>
      </c>
      <c r="BH56">
        <v>291.05591088030599</v>
      </c>
      <c r="BI56" s="4">
        <f t="shared" si="28"/>
        <v>154.10559108803059</v>
      </c>
      <c r="BJ56">
        <v>270.526294832742</v>
      </c>
      <c r="BK56" s="4">
        <f t="shared" si="29"/>
        <v>152.05262948327419</v>
      </c>
      <c r="BL56">
        <v>288.89257338852298</v>
      </c>
      <c r="BM56" s="4">
        <f t="shared" si="30"/>
        <v>153.8892573388523</v>
      </c>
      <c r="BN56">
        <v>305.13840869966998</v>
      </c>
      <c r="BO56" s="4">
        <f t="shared" si="31"/>
        <v>155.513840869967</v>
      </c>
      <c r="BP56">
        <v>293.37966296492101</v>
      </c>
      <c r="BQ56" s="4">
        <f t="shared" si="32"/>
        <v>154.33796629649211</v>
      </c>
      <c r="BR56">
        <v>312.29143406467512</v>
      </c>
      <c r="BS56" s="4">
        <f t="shared" si="33"/>
        <v>156.22914340646753</v>
      </c>
      <c r="BT56">
        <v>221.763978420504</v>
      </c>
      <c r="BU56" s="4">
        <f t="shared" si="34"/>
        <v>143.07715902068034</v>
      </c>
      <c r="BV56">
        <v>264.18234951435602</v>
      </c>
      <c r="BW56" s="4">
        <f t="shared" si="35"/>
        <v>151.41823495143561</v>
      </c>
      <c r="BX56">
        <v>262.32685034821202</v>
      </c>
      <c r="BY56" s="4">
        <f t="shared" si="36"/>
        <v>151.2326850348212</v>
      </c>
      <c r="BZ56">
        <v>276.009160460982</v>
      </c>
      <c r="CA56" s="4">
        <f t="shared" si="37"/>
        <v>152.60091604609821</v>
      </c>
      <c r="CB56">
        <v>331.03996775479499</v>
      </c>
      <c r="CC56" s="4">
        <f t="shared" si="38"/>
        <v>158.10399677547952</v>
      </c>
      <c r="CD56">
        <v>301.85601193300801</v>
      </c>
      <c r="CE56" s="4">
        <f t="shared" si="39"/>
        <v>155.18560119330081</v>
      </c>
      <c r="CF56">
        <f t="shared" si="40"/>
        <v>147.89247395791213</v>
      </c>
    </row>
    <row r="57" spans="1:84" x14ac:dyDescent="0.2">
      <c r="A57" s="2">
        <v>42059</v>
      </c>
      <c r="B57">
        <v>2019</v>
      </c>
      <c r="C57">
        <v>7</v>
      </c>
      <c r="D57">
        <v>243.07213856977501</v>
      </c>
      <c r="E57" s="4">
        <f t="shared" si="0"/>
        <v>148.53763529156078</v>
      </c>
      <c r="F57">
        <v>232.15580954667499</v>
      </c>
      <c r="G57" s="4">
        <f t="shared" si="1"/>
        <v>145.92169769663971</v>
      </c>
      <c r="H57">
        <v>226.03145734316001</v>
      </c>
      <c r="I57" s="4">
        <f t="shared" si="2"/>
        <v>144.28710580928359</v>
      </c>
      <c r="J57">
        <v>255.00412300772001</v>
      </c>
      <c r="K57" s="4">
        <f t="shared" si="3"/>
        <v>150.50041230077201</v>
      </c>
      <c r="L57">
        <v>252.76030421900001</v>
      </c>
      <c r="M57" s="4">
        <f t="shared" si="4"/>
        <v>150.2760304219</v>
      </c>
      <c r="N57">
        <v>231.37085782487</v>
      </c>
      <c r="O57" s="4">
        <f t="shared" si="5"/>
        <v>145.71889966388406</v>
      </c>
      <c r="P57">
        <v>266.85848771853</v>
      </c>
      <c r="Q57" s="4">
        <f t="shared" si="6"/>
        <v>151.68584877185299</v>
      </c>
      <c r="R57">
        <v>252.42908689462499</v>
      </c>
      <c r="S57" s="4">
        <f t="shared" si="7"/>
        <v>150.2429086894625</v>
      </c>
      <c r="T57">
        <v>231.65180687101</v>
      </c>
      <c r="U57" s="4">
        <f t="shared" si="8"/>
        <v>145.79171146844405</v>
      </c>
      <c r="V57">
        <v>239.69453235909</v>
      </c>
      <c r="W57" s="4">
        <f t="shared" si="9"/>
        <v>147.76898221054145</v>
      </c>
      <c r="X57">
        <v>242.20363673828999</v>
      </c>
      <c r="Y57" s="4">
        <f t="shared" si="10"/>
        <v>148.34347409948433</v>
      </c>
      <c r="Z57">
        <v>196.16092769541501</v>
      </c>
      <c r="AA57" s="4">
        <f t="shared" si="11"/>
        <v>134.59435240849368</v>
      </c>
      <c r="AB57">
        <v>195.28031854829999</v>
      </c>
      <c r="AC57" s="4">
        <f t="shared" si="12"/>
        <v>134.26527404857916</v>
      </c>
      <c r="AD57">
        <v>230.74898212055999</v>
      </c>
      <c r="AE57" s="4">
        <f t="shared" si="13"/>
        <v>145.55683372108078</v>
      </c>
      <c r="AF57">
        <v>182.04736211978999</v>
      </c>
      <c r="AG57" s="4">
        <f t="shared" si="14"/>
        <v>129.02137483215168</v>
      </c>
      <c r="AH57">
        <v>191.074964521635</v>
      </c>
      <c r="AI57" s="4">
        <f t="shared" si="15"/>
        <v>132.65953721452445</v>
      </c>
      <c r="AJ57">
        <v>217.66596590059001</v>
      </c>
      <c r="AK57" s="4">
        <f t="shared" si="16"/>
        <v>141.86040956229112</v>
      </c>
      <c r="AL57">
        <v>198.34390260289999</v>
      </c>
      <c r="AM57" s="4">
        <f t="shared" si="17"/>
        <v>135.39941668330209</v>
      </c>
      <c r="AN57">
        <v>198.64758799417999</v>
      </c>
      <c r="AO57" s="4">
        <f t="shared" si="18"/>
        <v>135.51020524873121</v>
      </c>
      <c r="AP57">
        <v>214.8051004097</v>
      </c>
      <c r="AQ57" s="4">
        <f t="shared" si="19"/>
        <v>140.97913055046592</v>
      </c>
      <c r="AR57">
        <v>204.158771958275</v>
      </c>
      <c r="AS57" s="4">
        <f t="shared" si="20"/>
        <v>137.4694852902575</v>
      </c>
      <c r="AT57">
        <v>283.84174088050003</v>
      </c>
      <c r="AU57" s="4">
        <f t="shared" si="21"/>
        <v>153.38417408805</v>
      </c>
      <c r="AV57">
        <v>226.18329751800499</v>
      </c>
      <c r="AW57" s="4">
        <f t="shared" si="22"/>
        <v>144.32908299621562</v>
      </c>
      <c r="AX57">
        <v>216.52318864965</v>
      </c>
      <c r="AY57" s="4">
        <f t="shared" si="23"/>
        <v>141.51152269283094</v>
      </c>
      <c r="AZ57">
        <v>259.11393036268498</v>
      </c>
      <c r="BA57" s="4">
        <f t="shared" si="24"/>
        <v>150.91139303626849</v>
      </c>
      <c r="BB57">
        <v>308.902390447995</v>
      </c>
      <c r="BC57" s="4">
        <f t="shared" si="25"/>
        <v>155.8902390447995</v>
      </c>
      <c r="BD57">
        <v>308.18117977512998</v>
      </c>
      <c r="BE57" s="4">
        <f t="shared" si="26"/>
        <v>155.818117977513</v>
      </c>
      <c r="BF57">
        <v>340.21497886753002</v>
      </c>
      <c r="BG57" s="4">
        <f t="shared" si="27"/>
        <v>159.021497886753</v>
      </c>
      <c r="BH57">
        <v>338.40457031594002</v>
      </c>
      <c r="BI57" s="4">
        <f t="shared" si="28"/>
        <v>158.84045703159401</v>
      </c>
      <c r="BJ57">
        <v>305.50034008330499</v>
      </c>
      <c r="BK57" s="4">
        <f t="shared" si="29"/>
        <v>155.5500340083305</v>
      </c>
      <c r="BL57">
        <v>339.95359270730501</v>
      </c>
      <c r="BM57" s="4">
        <f t="shared" si="30"/>
        <v>158.99535927073049</v>
      </c>
      <c r="BN57">
        <v>359.71003736841499</v>
      </c>
      <c r="BO57" s="4">
        <f t="shared" si="31"/>
        <v>160.97100373684151</v>
      </c>
      <c r="BP57">
        <v>352.30134681577499</v>
      </c>
      <c r="BQ57" s="4">
        <f t="shared" si="32"/>
        <v>160.23013468157751</v>
      </c>
      <c r="BR57">
        <v>325.15115409483002</v>
      </c>
      <c r="BS57" s="4">
        <f t="shared" si="33"/>
        <v>157.515115409483</v>
      </c>
      <c r="BT57">
        <v>277.92284317858002</v>
      </c>
      <c r="BU57" s="4">
        <f t="shared" si="34"/>
        <v>152.79228431785799</v>
      </c>
      <c r="BV57">
        <v>270.54244433626502</v>
      </c>
      <c r="BW57" s="4">
        <f t="shared" si="35"/>
        <v>152.05424443362651</v>
      </c>
      <c r="BX57">
        <v>239.77181647981999</v>
      </c>
      <c r="BY57" s="4">
        <f t="shared" si="36"/>
        <v>147.78697811496801</v>
      </c>
      <c r="BZ57">
        <v>282.49352741086</v>
      </c>
      <c r="CA57" s="4">
        <f t="shared" si="37"/>
        <v>153.249352741086</v>
      </c>
      <c r="CB57">
        <v>309.30537387854997</v>
      </c>
      <c r="CC57" s="4">
        <f t="shared" si="38"/>
        <v>155.930537387855</v>
      </c>
      <c r="CD57">
        <v>307.10408437337998</v>
      </c>
      <c r="CE57" s="4">
        <f t="shared" si="39"/>
        <v>155.710408437338</v>
      </c>
      <c r="CF57">
        <f t="shared" si="40"/>
        <v>148.30503382711282</v>
      </c>
    </row>
    <row r="58" spans="1:84" x14ac:dyDescent="0.2">
      <c r="A58" s="2">
        <v>42060</v>
      </c>
      <c r="B58">
        <v>2019</v>
      </c>
      <c r="C58">
        <v>8</v>
      </c>
      <c r="D58">
        <v>342.51227997929999</v>
      </c>
      <c r="E58" s="4">
        <f t="shared" si="0"/>
        <v>159.25122799793002</v>
      </c>
      <c r="F58">
        <v>348.438133584284</v>
      </c>
      <c r="G58" s="4">
        <f t="shared" si="1"/>
        <v>159.84381335842841</v>
      </c>
      <c r="H58">
        <v>320.85785846537601</v>
      </c>
      <c r="I58" s="4">
        <f t="shared" si="2"/>
        <v>157.08578584653759</v>
      </c>
      <c r="J58">
        <v>332.998701554756</v>
      </c>
      <c r="K58" s="4">
        <f t="shared" si="3"/>
        <v>158.29987015547562</v>
      </c>
      <c r="L58">
        <v>321.28642732742401</v>
      </c>
      <c r="M58" s="4">
        <f t="shared" si="4"/>
        <v>157.12864273274241</v>
      </c>
      <c r="N58">
        <v>318.18638691285997</v>
      </c>
      <c r="O58" s="4">
        <f t="shared" si="5"/>
        <v>156.818638691286</v>
      </c>
      <c r="P58">
        <v>339.43748197475998</v>
      </c>
      <c r="Q58" s="4">
        <f t="shared" si="6"/>
        <v>158.943748197476</v>
      </c>
      <c r="R58">
        <v>327.369099692536</v>
      </c>
      <c r="S58" s="4">
        <f t="shared" si="7"/>
        <v>157.73690996925359</v>
      </c>
      <c r="T58">
        <v>322.91505562510798</v>
      </c>
      <c r="U58" s="4">
        <f t="shared" si="8"/>
        <v>157.29150556251079</v>
      </c>
      <c r="V58">
        <v>351.79840686642399</v>
      </c>
      <c r="W58" s="4">
        <f t="shared" si="9"/>
        <v>160.17984068664239</v>
      </c>
      <c r="X58">
        <v>331.85788745719202</v>
      </c>
      <c r="Y58" s="4">
        <f t="shared" si="10"/>
        <v>158.18578874571921</v>
      </c>
      <c r="Z58">
        <v>315.20096057668798</v>
      </c>
      <c r="AA58" s="4">
        <f t="shared" si="11"/>
        <v>156.52009605766881</v>
      </c>
      <c r="AB58">
        <v>330.49320407711201</v>
      </c>
      <c r="AC58" s="4">
        <f t="shared" si="12"/>
        <v>158.04932040771121</v>
      </c>
      <c r="AD58">
        <v>348.62007353790602</v>
      </c>
      <c r="AE58" s="4">
        <f t="shared" si="13"/>
        <v>159.8620073537906</v>
      </c>
      <c r="AF58">
        <v>318.014362362734</v>
      </c>
      <c r="AG58" s="4">
        <f t="shared" si="14"/>
        <v>156.80143623627339</v>
      </c>
      <c r="AH58">
        <v>339.249384916466</v>
      </c>
      <c r="AI58" s="4">
        <f t="shared" si="15"/>
        <v>158.9249384916466</v>
      </c>
      <c r="AJ58">
        <v>355.25383769019999</v>
      </c>
      <c r="AK58" s="4">
        <f t="shared" si="16"/>
        <v>160.52538376902001</v>
      </c>
      <c r="AL58">
        <v>346.82521167208603</v>
      </c>
      <c r="AM58" s="4">
        <f t="shared" si="17"/>
        <v>159.68252116720862</v>
      </c>
      <c r="AN58">
        <v>363.90620060318003</v>
      </c>
      <c r="AO58" s="4">
        <f t="shared" si="18"/>
        <v>161.39062006031801</v>
      </c>
      <c r="AP58">
        <v>358.11841064308197</v>
      </c>
      <c r="AQ58" s="4">
        <f t="shared" si="19"/>
        <v>160.8118410643082</v>
      </c>
      <c r="AR58">
        <v>354.17828893233201</v>
      </c>
      <c r="AS58" s="4">
        <f t="shared" si="20"/>
        <v>160.41782889323321</v>
      </c>
      <c r="AT58">
        <v>431.78984459519398</v>
      </c>
      <c r="AU58" s="4">
        <f t="shared" si="21"/>
        <v>168.1789844595194</v>
      </c>
      <c r="AV58">
        <v>385.02114740839602</v>
      </c>
      <c r="AW58" s="4">
        <f t="shared" si="22"/>
        <v>163.5021147408396</v>
      </c>
      <c r="AX58">
        <v>385.24302812469</v>
      </c>
      <c r="AY58" s="4">
        <f t="shared" si="23"/>
        <v>163.52430281246899</v>
      </c>
      <c r="AZ58">
        <v>438.01962624539999</v>
      </c>
      <c r="BA58" s="4">
        <f t="shared" si="24"/>
        <v>168.80196262454001</v>
      </c>
      <c r="BB58">
        <v>425.48902032408802</v>
      </c>
      <c r="BC58" s="4">
        <f t="shared" si="25"/>
        <v>167.54890203240882</v>
      </c>
      <c r="BD58">
        <v>424.97543621437597</v>
      </c>
      <c r="BE58" s="4">
        <f t="shared" si="26"/>
        <v>167.49754362143761</v>
      </c>
      <c r="BF58">
        <v>475.13036714940398</v>
      </c>
      <c r="BG58" s="4">
        <f t="shared" si="27"/>
        <v>172.5130367149404</v>
      </c>
      <c r="BH58">
        <v>490.49921302939202</v>
      </c>
      <c r="BI58" s="4">
        <f t="shared" si="28"/>
        <v>174.0499213029392</v>
      </c>
      <c r="BJ58">
        <v>442.44114683978</v>
      </c>
      <c r="BK58" s="4">
        <f t="shared" si="29"/>
        <v>169.24411468397801</v>
      </c>
      <c r="BL58">
        <v>480.33573010801598</v>
      </c>
      <c r="BM58" s="4">
        <f t="shared" si="30"/>
        <v>173.0335730108016</v>
      </c>
      <c r="BN58">
        <v>500.04411514869599</v>
      </c>
      <c r="BO58" s="4">
        <f t="shared" si="31"/>
        <v>175.00441151486962</v>
      </c>
      <c r="BP58">
        <v>473.16588979985403</v>
      </c>
      <c r="BQ58" s="4">
        <f t="shared" si="32"/>
        <v>172.3165889799854</v>
      </c>
      <c r="BR58">
        <v>484.77506806677002</v>
      </c>
      <c r="BS58" s="4">
        <f t="shared" si="33"/>
        <v>173.47750680667701</v>
      </c>
      <c r="BT58">
        <v>376.38006752058402</v>
      </c>
      <c r="BU58" s="4">
        <f t="shared" si="34"/>
        <v>162.6380067520584</v>
      </c>
      <c r="BV58">
        <v>390.89907944632802</v>
      </c>
      <c r="BW58" s="4">
        <f t="shared" si="35"/>
        <v>164.08990794463281</v>
      </c>
      <c r="BX58">
        <v>392.89501833902602</v>
      </c>
      <c r="BY58" s="4">
        <f t="shared" si="36"/>
        <v>164.28950183390259</v>
      </c>
      <c r="BZ58">
        <v>427.93650143143799</v>
      </c>
      <c r="CA58" s="4">
        <f t="shared" si="37"/>
        <v>167.79365014314379</v>
      </c>
      <c r="CB58">
        <v>473.83068451332002</v>
      </c>
      <c r="CC58" s="4">
        <f t="shared" si="38"/>
        <v>172.38306845133201</v>
      </c>
      <c r="CD58">
        <v>479.85711410662998</v>
      </c>
      <c r="CE58" s="4">
        <f t="shared" si="39"/>
        <v>172.98571141066299</v>
      </c>
      <c r="CF58">
        <f t="shared" si="40"/>
        <v>163.4120293679297</v>
      </c>
    </row>
    <row r="59" spans="1:84" x14ac:dyDescent="0.2">
      <c r="A59" s="2">
        <v>42061</v>
      </c>
      <c r="B59">
        <v>2019</v>
      </c>
      <c r="C59">
        <v>9</v>
      </c>
      <c r="D59">
        <v>348.80126501512001</v>
      </c>
      <c r="E59" s="4">
        <f t="shared" si="0"/>
        <v>159.880126501512</v>
      </c>
      <c r="F59">
        <v>355.89198955350003</v>
      </c>
      <c r="G59" s="4">
        <f t="shared" si="1"/>
        <v>160.58919895535001</v>
      </c>
      <c r="H59">
        <v>343.47440487452002</v>
      </c>
      <c r="I59" s="4">
        <f t="shared" si="2"/>
        <v>159.34744048745199</v>
      </c>
      <c r="J59">
        <v>349.93572015398001</v>
      </c>
      <c r="K59" s="4">
        <f t="shared" si="3"/>
        <v>159.993572015398</v>
      </c>
      <c r="L59">
        <v>314.85252825724001</v>
      </c>
      <c r="M59" s="4">
        <f t="shared" si="4"/>
        <v>156.48525282572399</v>
      </c>
      <c r="N59">
        <v>341.41162954397998</v>
      </c>
      <c r="O59" s="4">
        <f t="shared" si="5"/>
        <v>159.141162954398</v>
      </c>
      <c r="P59">
        <v>327.05654002284001</v>
      </c>
      <c r="Q59" s="4">
        <f t="shared" si="6"/>
        <v>157.70565400228401</v>
      </c>
      <c r="R59">
        <v>368.25778837099989</v>
      </c>
      <c r="S59" s="4">
        <f t="shared" si="7"/>
        <v>161.82577883709999</v>
      </c>
      <c r="T59">
        <v>341.79714639444001</v>
      </c>
      <c r="U59" s="4">
        <f t="shared" si="8"/>
        <v>159.179714639444</v>
      </c>
      <c r="V59">
        <v>338.79683278008002</v>
      </c>
      <c r="W59" s="4">
        <f t="shared" si="9"/>
        <v>158.879683278008</v>
      </c>
      <c r="X59">
        <v>354.07068038426002</v>
      </c>
      <c r="Y59" s="4">
        <f t="shared" si="10"/>
        <v>160.40706803842602</v>
      </c>
      <c r="Z59">
        <v>328.50447750822002</v>
      </c>
      <c r="AA59" s="4">
        <f t="shared" si="11"/>
        <v>157.85044775082201</v>
      </c>
      <c r="AB59">
        <v>336.06298962782</v>
      </c>
      <c r="AC59" s="4">
        <f t="shared" si="12"/>
        <v>158.60629896278201</v>
      </c>
      <c r="AD59">
        <v>354.76783012466001</v>
      </c>
      <c r="AE59" s="4">
        <f t="shared" si="13"/>
        <v>160.476783012466</v>
      </c>
      <c r="AF59">
        <v>351.49400037501999</v>
      </c>
      <c r="AG59" s="4">
        <f t="shared" si="14"/>
        <v>160.14940003750201</v>
      </c>
      <c r="AH59">
        <v>347.37685360910001</v>
      </c>
      <c r="AI59" s="4">
        <f t="shared" si="15"/>
        <v>159.73768536091001</v>
      </c>
      <c r="AJ59">
        <v>379.08990343986</v>
      </c>
      <c r="AK59" s="4">
        <f t="shared" si="16"/>
        <v>162.90899034398601</v>
      </c>
      <c r="AL59">
        <v>351.97508728115997</v>
      </c>
      <c r="AM59" s="4">
        <f t="shared" si="17"/>
        <v>160.19750872811599</v>
      </c>
      <c r="AN59">
        <v>369.25438017329998</v>
      </c>
      <c r="AO59" s="4">
        <f t="shared" si="18"/>
        <v>161.92543801733001</v>
      </c>
      <c r="AP59">
        <v>405.19170655743989</v>
      </c>
      <c r="AQ59" s="4">
        <f t="shared" si="19"/>
        <v>165.51917065574401</v>
      </c>
      <c r="AR59">
        <v>367.93784172907999</v>
      </c>
      <c r="AS59" s="4">
        <f t="shared" si="20"/>
        <v>161.793784172908</v>
      </c>
      <c r="AT59">
        <v>394.79534114379999</v>
      </c>
      <c r="AU59" s="4">
        <f t="shared" si="21"/>
        <v>164.47953411437999</v>
      </c>
      <c r="AV59">
        <v>364.91672276102003</v>
      </c>
      <c r="AW59" s="4">
        <f t="shared" si="22"/>
        <v>161.49167227610201</v>
      </c>
      <c r="AX59">
        <v>383.39692719684001</v>
      </c>
      <c r="AY59" s="4">
        <f t="shared" si="23"/>
        <v>163.339692719684</v>
      </c>
      <c r="AZ59">
        <v>397.38531780554001</v>
      </c>
      <c r="BA59" s="4">
        <f t="shared" si="24"/>
        <v>164.73853178055401</v>
      </c>
      <c r="BB59">
        <v>383.0598583158</v>
      </c>
      <c r="BC59" s="4">
        <f t="shared" si="25"/>
        <v>163.30598583158002</v>
      </c>
      <c r="BD59">
        <v>399.33261277871998</v>
      </c>
      <c r="BE59" s="4">
        <f t="shared" si="26"/>
        <v>164.93326127787199</v>
      </c>
      <c r="BF59">
        <v>412.20062299452002</v>
      </c>
      <c r="BG59" s="4">
        <f t="shared" si="27"/>
        <v>166.220062299452</v>
      </c>
      <c r="BH59">
        <v>423.70982739819999</v>
      </c>
      <c r="BI59" s="4">
        <f t="shared" si="28"/>
        <v>167.37098273981999</v>
      </c>
      <c r="BJ59">
        <v>413.38135311513997</v>
      </c>
      <c r="BK59" s="4">
        <f t="shared" si="29"/>
        <v>166.33813531151401</v>
      </c>
      <c r="BL59">
        <v>422.66628696971998</v>
      </c>
      <c r="BM59" s="4">
        <f t="shared" si="30"/>
        <v>167.26662869697199</v>
      </c>
      <c r="BN59">
        <v>442.36963548799997</v>
      </c>
      <c r="BO59" s="4">
        <f t="shared" si="31"/>
        <v>169.23696354879999</v>
      </c>
      <c r="BP59">
        <v>434.32307505914002</v>
      </c>
      <c r="BQ59" s="4">
        <f t="shared" si="32"/>
        <v>168.432307505914</v>
      </c>
      <c r="BR59">
        <v>408.58101437648003</v>
      </c>
      <c r="BS59" s="4">
        <f t="shared" si="33"/>
        <v>165.858101437648</v>
      </c>
      <c r="BT59">
        <v>354.91377326882002</v>
      </c>
      <c r="BU59" s="4">
        <f t="shared" si="34"/>
        <v>160.491377326882</v>
      </c>
      <c r="BV59">
        <v>386.59878828014001</v>
      </c>
      <c r="BW59" s="4">
        <f t="shared" si="35"/>
        <v>163.659878828014</v>
      </c>
      <c r="BX59">
        <v>376.22616992951998</v>
      </c>
      <c r="BY59" s="4">
        <f t="shared" si="36"/>
        <v>162.622616992952</v>
      </c>
      <c r="BZ59">
        <v>398.47818288692002</v>
      </c>
      <c r="CA59" s="4">
        <f t="shared" si="37"/>
        <v>164.847818288692</v>
      </c>
      <c r="CB59">
        <v>431.05751687333998</v>
      </c>
      <c r="CC59" s="4">
        <f t="shared" si="38"/>
        <v>168.10575168733399</v>
      </c>
      <c r="CD59">
        <v>440.58434131989998</v>
      </c>
      <c r="CE59" s="4">
        <f t="shared" si="39"/>
        <v>169.05843413199</v>
      </c>
      <c r="CF59">
        <f t="shared" si="40"/>
        <v>162.47450783840955</v>
      </c>
    </row>
    <row r="60" spans="1:84" x14ac:dyDescent="0.2">
      <c r="A60" s="2">
        <v>42062</v>
      </c>
      <c r="B60">
        <v>2019</v>
      </c>
      <c r="C60">
        <v>10</v>
      </c>
      <c r="D60">
        <v>83.145081628602</v>
      </c>
      <c r="E60" s="4">
        <f t="shared" si="0"/>
        <v>72.084114270158977</v>
      </c>
      <c r="F60">
        <v>77.965261785474013</v>
      </c>
      <c r="G60" s="4">
        <f t="shared" si="1"/>
        <v>68.239530513030019</v>
      </c>
      <c r="H60">
        <v>88.93909456290001</v>
      </c>
      <c r="I60" s="4">
        <f t="shared" si="2"/>
        <v>76.28283449623045</v>
      </c>
      <c r="J60">
        <v>80.781474165323999</v>
      </c>
      <c r="K60" s="4">
        <f t="shared" si="3"/>
        <v>70.340439656007334</v>
      </c>
      <c r="L60">
        <v>85.598213513640005</v>
      </c>
      <c r="M60" s="4">
        <f t="shared" si="4"/>
        <v>73.874926862877288</v>
      </c>
      <c r="N60">
        <v>81.810797243820005</v>
      </c>
      <c r="O60" s="4">
        <f t="shared" si="5"/>
        <v>71.101986770748923</v>
      </c>
      <c r="P60">
        <v>74.06336588484001</v>
      </c>
      <c r="Q60" s="4">
        <f t="shared" si="6"/>
        <v>65.286754418933313</v>
      </c>
      <c r="R60">
        <v>74.746014703032003</v>
      </c>
      <c r="S60" s="4">
        <f t="shared" si="7"/>
        <v>65.8068679606546</v>
      </c>
      <c r="T60">
        <v>72.90693834906601</v>
      </c>
      <c r="U60" s="4">
        <f t="shared" si="8"/>
        <v>64.402263693970795</v>
      </c>
      <c r="V60">
        <v>71.322949813937996</v>
      </c>
      <c r="W60" s="4">
        <f t="shared" si="9"/>
        <v>63.18380874167957</v>
      </c>
      <c r="X60">
        <v>77.821398318761993</v>
      </c>
      <c r="Y60" s="4">
        <f t="shared" si="10"/>
        <v>68.131526260702131</v>
      </c>
      <c r="Z60">
        <v>72.356411052552005</v>
      </c>
      <c r="AA60" s="4">
        <f t="shared" si="11"/>
        <v>63.979690699902619</v>
      </c>
      <c r="AB60">
        <v>69.115125089238006</v>
      </c>
      <c r="AC60" s="4">
        <f t="shared" si="12"/>
        <v>61.472084263476383</v>
      </c>
      <c r="AD60">
        <v>80.439702238937997</v>
      </c>
      <c r="AE60" s="4">
        <f t="shared" si="13"/>
        <v>70.086829124875578</v>
      </c>
      <c r="AF60">
        <v>68.533620104256002</v>
      </c>
      <c r="AG60" s="4">
        <f t="shared" si="14"/>
        <v>61.018648768904832</v>
      </c>
      <c r="AH60">
        <v>66.116954822118004</v>
      </c>
      <c r="AI60" s="4">
        <f t="shared" si="15"/>
        <v>59.122632078198016</v>
      </c>
      <c r="AJ60">
        <v>75.764956585884008</v>
      </c>
      <c r="AK60" s="4">
        <f t="shared" si="16"/>
        <v>66.580430751546587</v>
      </c>
      <c r="AL60">
        <v>75.072183925932009</v>
      </c>
      <c r="AM60" s="4">
        <f t="shared" si="17"/>
        <v>66.054851446877677</v>
      </c>
      <c r="AN60">
        <v>70.573233158454002</v>
      </c>
      <c r="AO60" s="4">
        <f t="shared" si="18"/>
        <v>62.604303176953984</v>
      </c>
      <c r="AP60">
        <v>73.702170998202007</v>
      </c>
      <c r="AQ60" s="4">
        <f t="shared" si="19"/>
        <v>65.010954982444872</v>
      </c>
      <c r="AR60">
        <v>78.731124461100009</v>
      </c>
      <c r="AS60" s="4">
        <f t="shared" si="20"/>
        <v>68.813380526845251</v>
      </c>
      <c r="AT60">
        <v>79.23854273244001</v>
      </c>
      <c r="AU60" s="4">
        <f t="shared" si="21"/>
        <v>69.19254808546286</v>
      </c>
      <c r="AV60">
        <v>77.094357773298</v>
      </c>
      <c r="AW60" s="4">
        <f t="shared" si="22"/>
        <v>67.584693772534365</v>
      </c>
      <c r="AX60">
        <v>78.421248239250005</v>
      </c>
      <c r="AY60" s="4">
        <f t="shared" si="23"/>
        <v>68.581420758606697</v>
      </c>
      <c r="AZ60">
        <v>80.131899297696009</v>
      </c>
      <c r="BA60" s="4">
        <f t="shared" si="24"/>
        <v>69.858105241606253</v>
      </c>
      <c r="BB60">
        <v>68.140901950008001</v>
      </c>
      <c r="BC60" s="4">
        <f t="shared" si="25"/>
        <v>60.711809920311033</v>
      </c>
      <c r="BD60">
        <v>79.160633662944008</v>
      </c>
      <c r="BE60" s="4">
        <f t="shared" si="26"/>
        <v>69.134384187873891</v>
      </c>
      <c r="BF60">
        <v>70.164583320882002</v>
      </c>
      <c r="BG60" s="4">
        <f t="shared" si="27"/>
        <v>62.287673316733212</v>
      </c>
      <c r="BH60">
        <v>74.20723501285201</v>
      </c>
      <c r="BI60" s="4">
        <f t="shared" si="28"/>
        <v>65.396493047647766</v>
      </c>
      <c r="BJ60">
        <v>82.100600378676006</v>
      </c>
      <c r="BK60" s="4">
        <f t="shared" si="29"/>
        <v>71.315786646613518</v>
      </c>
      <c r="BL60">
        <v>75.534341112636</v>
      </c>
      <c r="BM60" s="4">
        <f t="shared" si="30"/>
        <v>66.40564241292391</v>
      </c>
      <c r="BN60">
        <v>75.772897688682008</v>
      </c>
      <c r="BO60" s="4">
        <f t="shared" si="31"/>
        <v>66.586446450058844</v>
      </c>
      <c r="BP60">
        <v>77.486292889752008</v>
      </c>
      <c r="BQ60" s="4">
        <f t="shared" si="32"/>
        <v>67.879691952477714</v>
      </c>
      <c r="BR60">
        <v>79.129822938078007</v>
      </c>
      <c r="BS60" s="4">
        <f t="shared" si="33"/>
        <v>69.11137673293949</v>
      </c>
      <c r="BT60">
        <v>73.610034662124008</v>
      </c>
      <c r="BU60" s="4">
        <f t="shared" si="34"/>
        <v>64.940535137389446</v>
      </c>
      <c r="BV60">
        <v>80.100936302844005</v>
      </c>
      <c r="BW60" s="4">
        <f t="shared" si="35"/>
        <v>69.835080308296369</v>
      </c>
      <c r="BX60">
        <v>78.473738018862008</v>
      </c>
      <c r="BY60" s="4">
        <f t="shared" si="36"/>
        <v>68.62073392501722</v>
      </c>
      <c r="BZ60">
        <v>76.4544985677</v>
      </c>
      <c r="CA60" s="4">
        <f t="shared" si="37"/>
        <v>67.102034005718494</v>
      </c>
      <c r="CB60">
        <v>83.556531359382006</v>
      </c>
      <c r="CC60" s="4">
        <f t="shared" si="38"/>
        <v>72.385821066883778</v>
      </c>
      <c r="CD60">
        <v>82.446419329776006</v>
      </c>
      <c r="CE60" s="4">
        <f t="shared" si="39"/>
        <v>71.570560033293972</v>
      </c>
      <c r="CF60">
        <f t="shared" si="40"/>
        <v>67.21603140111894</v>
      </c>
    </row>
    <row r="61" spans="1:84" x14ac:dyDescent="0.2">
      <c r="A61" s="2">
        <v>42063</v>
      </c>
      <c r="B61">
        <v>2019</v>
      </c>
      <c r="C61">
        <v>11</v>
      </c>
      <c r="D61">
        <v>264.46451351924901</v>
      </c>
      <c r="E61" s="4">
        <f t="shared" si="0"/>
        <v>151.44645135192491</v>
      </c>
      <c r="F61">
        <v>237.39851872230099</v>
      </c>
      <c r="G61" s="4">
        <f t="shared" si="1"/>
        <v>147.22562801583265</v>
      </c>
      <c r="H61">
        <v>277.85502911886601</v>
      </c>
      <c r="I61" s="4">
        <f t="shared" si="2"/>
        <v>152.7855029118866</v>
      </c>
      <c r="J61">
        <v>236.47615985576601</v>
      </c>
      <c r="K61" s="4">
        <f t="shared" si="3"/>
        <v>147.00260116755831</v>
      </c>
      <c r="L61">
        <v>336.096418390981</v>
      </c>
      <c r="M61" s="4">
        <f t="shared" si="4"/>
        <v>158.60964183909812</v>
      </c>
      <c r="N61">
        <v>224.335742118502</v>
      </c>
      <c r="O61" s="4">
        <f t="shared" si="5"/>
        <v>143.81330181152754</v>
      </c>
      <c r="P61">
        <v>220.70255158337801</v>
      </c>
      <c r="Q61" s="4">
        <f t="shared" si="6"/>
        <v>142.76716554271619</v>
      </c>
      <c r="R61">
        <v>226.200138190134</v>
      </c>
      <c r="S61" s="4">
        <f t="shared" si="7"/>
        <v>144.33373416255685</v>
      </c>
      <c r="T61">
        <v>250.252495788517</v>
      </c>
      <c r="U61" s="4">
        <f t="shared" si="8"/>
        <v>150.02524957885169</v>
      </c>
      <c r="V61">
        <v>220.795862147299</v>
      </c>
      <c r="W61" s="4">
        <f t="shared" si="9"/>
        <v>142.7945617611085</v>
      </c>
      <c r="X61">
        <v>210.041481712907</v>
      </c>
      <c r="Y61" s="4">
        <f t="shared" si="10"/>
        <v>139.45360324866147</v>
      </c>
      <c r="Z61">
        <v>239.338354060786</v>
      </c>
      <c r="AA61" s="4">
        <f t="shared" si="11"/>
        <v>147.68579770154415</v>
      </c>
      <c r="AB61">
        <v>236.66119036664199</v>
      </c>
      <c r="AC61" s="4">
        <f t="shared" si="12"/>
        <v>147.04755992543247</v>
      </c>
      <c r="AD61">
        <v>216.14161834189301</v>
      </c>
      <c r="AE61" s="4">
        <f t="shared" si="13"/>
        <v>141.39409965476895</v>
      </c>
      <c r="AF61">
        <v>218.14579965186499</v>
      </c>
      <c r="AG61" s="4">
        <f t="shared" si="14"/>
        <v>142.0056558026624</v>
      </c>
      <c r="AH61">
        <v>169.73602549805099</v>
      </c>
      <c r="AI61" s="4">
        <f t="shared" si="15"/>
        <v>123.63951613505095</v>
      </c>
      <c r="AJ61">
        <v>225.88087569846499</v>
      </c>
      <c r="AK61" s="4">
        <f t="shared" si="16"/>
        <v>144.24540368837637</v>
      </c>
      <c r="AL61">
        <v>240.5136004119</v>
      </c>
      <c r="AM61" s="4">
        <f t="shared" si="17"/>
        <v>147.95873323894784</v>
      </c>
      <c r="AN61">
        <v>171.09978919173099</v>
      </c>
      <c r="AO61" s="4">
        <f t="shared" si="18"/>
        <v>124.25956861340333</v>
      </c>
      <c r="AP61">
        <v>231.47614818385301</v>
      </c>
      <c r="AQ61" s="4">
        <f t="shared" si="19"/>
        <v>145.74621669900006</v>
      </c>
      <c r="AR61">
        <v>228.728936170569</v>
      </c>
      <c r="AS61" s="4">
        <f t="shared" si="20"/>
        <v>145.0218541838166</v>
      </c>
      <c r="AT61">
        <v>183.599577162136</v>
      </c>
      <c r="AU61" s="4">
        <f t="shared" si="21"/>
        <v>129.6654895875518</v>
      </c>
      <c r="AV61">
        <v>167.64424800855599</v>
      </c>
      <c r="AW61" s="4">
        <f t="shared" si="22"/>
        <v>122.67689778398922</v>
      </c>
      <c r="AX61">
        <v>211.08832174508601</v>
      </c>
      <c r="AY61" s="4">
        <f t="shared" si="23"/>
        <v>139.79507442163487</v>
      </c>
      <c r="AZ61">
        <v>213.37562591838099</v>
      </c>
      <c r="BA61" s="4">
        <f t="shared" si="24"/>
        <v>140.52897354068361</v>
      </c>
      <c r="BB61">
        <v>199.41749140000701</v>
      </c>
      <c r="BC61" s="4">
        <f t="shared" si="25"/>
        <v>135.78975399797201</v>
      </c>
      <c r="BD61">
        <v>217.17771881345499</v>
      </c>
      <c r="BE61" s="4">
        <f t="shared" si="26"/>
        <v>141.7118603350292</v>
      </c>
      <c r="BF61">
        <v>197.42496372834501</v>
      </c>
      <c r="BG61" s="4">
        <f t="shared" si="27"/>
        <v>135.06237764332366</v>
      </c>
      <c r="BH61">
        <v>212.31053179067601</v>
      </c>
      <c r="BI61" s="4">
        <f t="shared" si="28"/>
        <v>140.18931273589257</v>
      </c>
      <c r="BJ61">
        <v>243.86992548298201</v>
      </c>
      <c r="BK61" s="4">
        <f t="shared" si="29"/>
        <v>148.71386059486167</v>
      </c>
      <c r="BL61">
        <v>227.810031270487</v>
      </c>
      <c r="BM61" s="4">
        <f t="shared" si="30"/>
        <v>144.77417471455055</v>
      </c>
      <c r="BN61">
        <v>255.63374955659901</v>
      </c>
      <c r="BO61" s="4">
        <f t="shared" si="31"/>
        <v>150.5633749556599</v>
      </c>
      <c r="BP61">
        <v>234.06321985835001</v>
      </c>
      <c r="BQ61" s="4">
        <f t="shared" si="32"/>
        <v>146.40627443361672</v>
      </c>
      <c r="BR61">
        <v>210.43704783814999</v>
      </c>
      <c r="BS61" s="4">
        <f t="shared" si="33"/>
        <v>139.58304607361268</v>
      </c>
      <c r="BT61">
        <v>216.31739543702099</v>
      </c>
      <c r="BU61" s="4">
        <f t="shared" si="34"/>
        <v>141.44825052717059</v>
      </c>
      <c r="BV61">
        <v>246.958727128178</v>
      </c>
      <c r="BW61" s="4">
        <f t="shared" si="35"/>
        <v>149.37694648054617</v>
      </c>
      <c r="BX61">
        <v>241.40240255290999</v>
      </c>
      <c r="BY61" s="4">
        <f t="shared" si="36"/>
        <v>148.16221061960243</v>
      </c>
      <c r="BZ61">
        <v>231.07518844526101</v>
      </c>
      <c r="CA61" s="4">
        <f t="shared" si="37"/>
        <v>145.6420001012404</v>
      </c>
      <c r="CB61">
        <v>244.23169086284599</v>
      </c>
      <c r="CC61" s="4">
        <f t="shared" si="38"/>
        <v>148.79310074808635</v>
      </c>
      <c r="CD61">
        <v>284.98682419530701</v>
      </c>
      <c r="CE61" s="4">
        <f t="shared" si="39"/>
        <v>153.4986824195307</v>
      </c>
      <c r="CF61">
        <f t="shared" si="40"/>
        <v>143.30343829653702</v>
      </c>
    </row>
    <row r="62" spans="1:84" x14ac:dyDescent="0.2">
      <c r="A62" s="2">
        <v>42064</v>
      </c>
      <c r="B62">
        <v>2019</v>
      </c>
      <c r="C62">
        <v>12</v>
      </c>
      <c r="D62">
        <v>16.540020718535999</v>
      </c>
      <c r="E62" s="4">
        <f t="shared" si="0"/>
        <v>16.102305061944641</v>
      </c>
      <c r="F62">
        <v>17.621384259675001</v>
      </c>
      <c r="G62" s="4">
        <f t="shared" si="1"/>
        <v>17.124563166511606</v>
      </c>
      <c r="H62">
        <v>20.713018959387998</v>
      </c>
      <c r="I62" s="4">
        <f t="shared" si="2"/>
        <v>20.026572312328852</v>
      </c>
      <c r="J62">
        <v>16.335505979667001</v>
      </c>
      <c r="K62" s="4">
        <f t="shared" si="3"/>
        <v>15.908547970688222</v>
      </c>
      <c r="L62">
        <v>25.09951723272</v>
      </c>
      <c r="M62" s="4">
        <f t="shared" si="4"/>
        <v>24.091540008215027</v>
      </c>
      <c r="N62">
        <v>13.818619114657</v>
      </c>
      <c r="O62" s="4">
        <f t="shared" si="5"/>
        <v>13.513092339879458</v>
      </c>
      <c r="P62">
        <v>7.8513506404059994</v>
      </c>
      <c r="Q62" s="4">
        <f t="shared" si="6"/>
        <v>7.7527207094002337</v>
      </c>
      <c r="R62">
        <v>13.147167383538999</v>
      </c>
      <c r="S62" s="4">
        <f t="shared" si="7"/>
        <v>12.870610567201734</v>
      </c>
      <c r="T62">
        <v>11.274041360672999</v>
      </c>
      <c r="U62" s="4">
        <f t="shared" si="8"/>
        <v>11.070674946909536</v>
      </c>
      <c r="V62">
        <v>8.8036984794289985</v>
      </c>
      <c r="W62" s="4">
        <f t="shared" si="9"/>
        <v>8.6796903083622787</v>
      </c>
      <c r="X62">
        <v>14.775745191501001</v>
      </c>
      <c r="Y62" s="4">
        <f t="shared" si="10"/>
        <v>14.426428957958336</v>
      </c>
      <c r="Z62">
        <v>13.0309372655</v>
      </c>
      <c r="AA62" s="4">
        <f t="shared" si="11"/>
        <v>12.759248743872165</v>
      </c>
      <c r="AB62">
        <v>9.0103855325960005</v>
      </c>
      <c r="AC62" s="4">
        <f t="shared" si="12"/>
        <v>8.8804862566823761</v>
      </c>
      <c r="AD62">
        <v>17.073877821553001</v>
      </c>
      <c r="AE62" s="4">
        <f t="shared" si="13"/>
        <v>16.607450135368492</v>
      </c>
      <c r="AF62">
        <v>12.138414399293</v>
      </c>
      <c r="AG62" s="4">
        <f t="shared" si="14"/>
        <v>11.902668632686659</v>
      </c>
      <c r="AH62">
        <v>8.9343571367189991</v>
      </c>
      <c r="AI62" s="4">
        <f t="shared" si="15"/>
        <v>8.8066407568046934</v>
      </c>
      <c r="AJ62">
        <v>14.348163161682001</v>
      </c>
      <c r="AK62" s="4">
        <f t="shared" si="16"/>
        <v>14.018771503899202</v>
      </c>
      <c r="AL62">
        <v>10.960176159968</v>
      </c>
      <c r="AM62" s="4">
        <f t="shared" si="17"/>
        <v>10.767975421635951</v>
      </c>
      <c r="AN62">
        <v>8.5405109495440001</v>
      </c>
      <c r="AO62" s="4">
        <f t="shared" si="18"/>
        <v>8.4238064258971495</v>
      </c>
      <c r="AP62">
        <v>16.231441866493</v>
      </c>
      <c r="AQ62" s="4">
        <f t="shared" si="19"/>
        <v>15.809906338388453</v>
      </c>
      <c r="AR62">
        <v>8.6683136441999995</v>
      </c>
      <c r="AS62" s="4">
        <f t="shared" si="20"/>
        <v>8.5480901859052416</v>
      </c>
      <c r="AT62">
        <v>3.061178666525</v>
      </c>
      <c r="AU62" s="4">
        <f t="shared" si="21"/>
        <v>3.0461853627995796</v>
      </c>
      <c r="AV62">
        <v>5.2536834124949996</v>
      </c>
      <c r="AW62" s="4">
        <f t="shared" si="22"/>
        <v>5.2095215094570397</v>
      </c>
      <c r="AX62">
        <v>5.1960345022389998</v>
      </c>
      <c r="AY62" s="4">
        <f t="shared" si="23"/>
        <v>5.1528364629614671</v>
      </c>
      <c r="AZ62">
        <v>4.7843044276719997</v>
      </c>
      <c r="BA62" s="4">
        <f t="shared" si="24"/>
        <v>4.7476811175013731</v>
      </c>
      <c r="BB62">
        <v>7.3042704026880001</v>
      </c>
      <c r="BC62" s="4">
        <f t="shared" si="25"/>
        <v>7.218906616903066</v>
      </c>
      <c r="BD62">
        <v>8.520055328162</v>
      </c>
      <c r="BE62" s="4">
        <f t="shared" si="26"/>
        <v>8.4039091796900944</v>
      </c>
      <c r="BF62">
        <v>8.2955403929300005</v>
      </c>
      <c r="BG62" s="4">
        <f t="shared" si="27"/>
        <v>8.1854348082728272</v>
      </c>
      <c r="BH62">
        <v>6.5659724421900014</v>
      </c>
      <c r="BI62" s="4">
        <f t="shared" si="28"/>
        <v>6.4969932516114444</v>
      </c>
      <c r="BJ62">
        <v>5.4755757850290001</v>
      </c>
      <c r="BK62" s="4">
        <f t="shared" si="29"/>
        <v>5.4276046967448464</v>
      </c>
      <c r="BL62">
        <v>4.418453855508</v>
      </c>
      <c r="BM62" s="4">
        <f t="shared" si="30"/>
        <v>4.3872174803507944</v>
      </c>
      <c r="BN62">
        <v>6.1855797148110003</v>
      </c>
      <c r="BO62" s="4">
        <f t="shared" si="31"/>
        <v>6.1243614805577495</v>
      </c>
      <c r="BP62">
        <v>5.478937603216</v>
      </c>
      <c r="BQ62" s="4">
        <f t="shared" si="32"/>
        <v>5.4309075916001044</v>
      </c>
      <c r="BR62">
        <v>1.8266491370119999</v>
      </c>
      <c r="BS62" s="4">
        <f t="shared" si="33"/>
        <v>1.8213105017004052</v>
      </c>
      <c r="BT62">
        <v>8.9028895639039991</v>
      </c>
      <c r="BU62" s="4">
        <f t="shared" si="34"/>
        <v>8.7760712557646858</v>
      </c>
      <c r="BV62">
        <v>5.9879824784290001</v>
      </c>
      <c r="BW62" s="4">
        <f t="shared" si="35"/>
        <v>5.9306129837698434</v>
      </c>
      <c r="BX62">
        <v>4.9219576455419993</v>
      </c>
      <c r="BY62" s="4">
        <f t="shared" si="36"/>
        <v>4.8831965782387838</v>
      </c>
      <c r="BZ62">
        <v>2.8907231886189999</v>
      </c>
      <c r="CA62" s="4">
        <f t="shared" si="37"/>
        <v>2.8773531397338488</v>
      </c>
      <c r="CB62">
        <v>2.429621559743</v>
      </c>
      <c r="CC62" s="4">
        <f t="shared" si="38"/>
        <v>2.4201766622652912</v>
      </c>
      <c r="CD62">
        <v>2.165045570702</v>
      </c>
      <c r="CE62" s="4">
        <f t="shared" si="39"/>
        <v>2.1575456949848539</v>
      </c>
      <c r="CF62">
        <f t="shared" si="40"/>
        <v>9.4622130571916738</v>
      </c>
    </row>
    <row r="63" spans="1:84" x14ac:dyDescent="0.2">
      <c r="A63" s="2">
        <v>42065</v>
      </c>
      <c r="B63">
        <v>2020</v>
      </c>
      <c r="C63">
        <v>1</v>
      </c>
      <c r="D63">
        <v>103.60758458085</v>
      </c>
      <c r="E63" s="4">
        <f t="shared" si="0"/>
        <v>86.43233404856521</v>
      </c>
      <c r="F63">
        <v>97.615933799699988</v>
      </c>
      <c r="G63" s="4">
        <f t="shared" si="1"/>
        <v>82.369740949160132</v>
      </c>
      <c r="H63">
        <v>130.63760180924999</v>
      </c>
      <c r="I63" s="4">
        <f t="shared" si="2"/>
        <v>103.33170899889454</v>
      </c>
      <c r="J63">
        <v>98.068549769129987</v>
      </c>
      <c r="K63" s="4">
        <f t="shared" si="3"/>
        <v>82.680645043017464</v>
      </c>
      <c r="L63">
        <v>132.22297054065001</v>
      </c>
      <c r="M63" s="4">
        <f t="shared" si="4"/>
        <v>104.25030823890025</v>
      </c>
      <c r="N63">
        <v>101.37090712395</v>
      </c>
      <c r="O63" s="4">
        <f t="shared" si="5"/>
        <v>84.929209826138006</v>
      </c>
      <c r="P63">
        <v>36.478319248695001</v>
      </c>
      <c r="Q63" s="4">
        <f t="shared" si="6"/>
        <v>34.349250808359457</v>
      </c>
      <c r="R63">
        <v>75.094227470669992</v>
      </c>
      <c r="S63" s="4">
        <f t="shared" si="7"/>
        <v>66.07159867160324</v>
      </c>
      <c r="T63">
        <v>53.12886153449999</v>
      </c>
      <c r="U63" s="4">
        <f t="shared" si="8"/>
        <v>48.612580049776668</v>
      </c>
      <c r="V63">
        <v>33.596955491985</v>
      </c>
      <c r="W63" s="4">
        <f t="shared" si="9"/>
        <v>31.790946822656327</v>
      </c>
      <c r="X63">
        <v>76.076938069275002</v>
      </c>
      <c r="Y63" s="4">
        <f t="shared" si="10"/>
        <v>66.816617259680925</v>
      </c>
      <c r="Z63">
        <v>36.86312542764</v>
      </c>
      <c r="AA63" s="4">
        <f t="shared" si="11"/>
        <v>34.68890140156973</v>
      </c>
      <c r="AB63">
        <v>11.152577684340001</v>
      </c>
      <c r="AC63" s="4">
        <f t="shared" si="12"/>
        <v>10.95356970193162</v>
      </c>
      <c r="AD63">
        <v>71.630512055849991</v>
      </c>
      <c r="AE63" s="4">
        <f t="shared" si="13"/>
        <v>63.421023644036758</v>
      </c>
      <c r="AF63">
        <v>36.977107490850003</v>
      </c>
      <c r="AG63" s="4">
        <f t="shared" si="14"/>
        <v>34.789417125426205</v>
      </c>
      <c r="AH63">
        <v>6.5602633332750004</v>
      </c>
      <c r="AI63" s="4">
        <f t="shared" si="15"/>
        <v>6.4914040452719401</v>
      </c>
      <c r="AJ63">
        <v>70.184579319899996</v>
      </c>
      <c r="AK63" s="4">
        <f t="shared" si="16"/>
        <v>62.303179041001862</v>
      </c>
      <c r="AL63">
        <v>48.761658765944993</v>
      </c>
      <c r="AM63" s="4">
        <f t="shared" si="17"/>
        <v>44.957339780974664</v>
      </c>
      <c r="AN63">
        <v>29.483661006990001</v>
      </c>
      <c r="AO63" s="4">
        <f t="shared" si="18"/>
        <v>28.092802980789838</v>
      </c>
      <c r="AP63">
        <v>78.111563580750001</v>
      </c>
      <c r="AQ63" s="4">
        <f t="shared" si="19"/>
        <v>68.349297396702724</v>
      </c>
      <c r="AR63">
        <v>61.953861694755012</v>
      </c>
      <c r="AS63" s="4">
        <f t="shared" si="20"/>
        <v>55.812612128526482</v>
      </c>
      <c r="AT63">
        <v>11.51608375677</v>
      </c>
      <c r="AU63" s="4">
        <f t="shared" si="21"/>
        <v>11.303891460621292</v>
      </c>
      <c r="AV63">
        <v>10.557660105269999</v>
      </c>
      <c r="AW63" s="4">
        <f t="shared" si="22"/>
        <v>10.379317406232543</v>
      </c>
      <c r="AX63">
        <v>21.886046244345</v>
      </c>
      <c r="AY63" s="4">
        <f t="shared" si="23"/>
        <v>21.119647812009628</v>
      </c>
      <c r="AZ63">
        <v>15.884098894185</v>
      </c>
      <c r="BA63" s="4">
        <f t="shared" si="24"/>
        <v>15.480411537896602</v>
      </c>
      <c r="BB63">
        <v>17.775194942894998</v>
      </c>
      <c r="BC63" s="4">
        <f t="shared" si="25"/>
        <v>17.269662854482327</v>
      </c>
      <c r="BD63">
        <v>14.385634680240001</v>
      </c>
      <c r="BE63" s="4">
        <f t="shared" si="26"/>
        <v>14.054520303994682</v>
      </c>
      <c r="BF63">
        <v>11.45626240833</v>
      </c>
      <c r="BG63" s="4">
        <f t="shared" si="27"/>
        <v>11.246268890940375</v>
      </c>
      <c r="BH63">
        <v>11.26272338793</v>
      </c>
      <c r="BI63" s="4">
        <f t="shared" si="28"/>
        <v>11.059765086949159</v>
      </c>
      <c r="BJ63">
        <v>16.104195266325</v>
      </c>
      <c r="BK63" s="4">
        <f t="shared" si="29"/>
        <v>15.689243098043521</v>
      </c>
      <c r="BL63">
        <v>14.09154859287</v>
      </c>
      <c r="BM63" s="4">
        <f t="shared" si="30"/>
        <v>13.773833806077652</v>
      </c>
      <c r="BN63">
        <v>15.51120559155</v>
      </c>
      <c r="BO63" s="4">
        <f t="shared" si="31"/>
        <v>15.126249593304669</v>
      </c>
      <c r="BP63">
        <v>17.268457413659998</v>
      </c>
      <c r="BQ63" s="4">
        <f t="shared" si="32"/>
        <v>16.791338019344177</v>
      </c>
      <c r="BR63">
        <v>8.9516321871299986</v>
      </c>
      <c r="BS63" s="4">
        <f t="shared" si="33"/>
        <v>8.8234214370281396</v>
      </c>
      <c r="BT63">
        <v>25.96071544146</v>
      </c>
      <c r="BU63" s="4">
        <f t="shared" si="34"/>
        <v>24.882381447488065</v>
      </c>
      <c r="BV63">
        <v>27.605655330929999</v>
      </c>
      <c r="BW63" s="4">
        <f t="shared" si="35"/>
        <v>26.386339800929832</v>
      </c>
      <c r="BX63">
        <v>9.4140426305849996</v>
      </c>
      <c r="BY63" s="4">
        <f t="shared" si="36"/>
        <v>9.2722439127442442</v>
      </c>
      <c r="BZ63">
        <v>10.11606991383</v>
      </c>
      <c r="CA63" s="4">
        <f t="shared" si="37"/>
        <v>9.9523341210276044</v>
      </c>
      <c r="CB63">
        <v>9.3585083205749982</v>
      </c>
      <c r="CC63" s="4">
        <f t="shared" si="38"/>
        <v>9.2183776357969638</v>
      </c>
      <c r="CD63">
        <v>14.482771801005001</v>
      </c>
      <c r="CE63" s="4">
        <f t="shared" si="39"/>
        <v>14.147170714541023</v>
      </c>
      <c r="CF63">
        <f t="shared" si="40"/>
        <v>37.568851342438087</v>
      </c>
    </row>
    <row r="64" spans="1:84" x14ac:dyDescent="0.2">
      <c r="A64" s="2">
        <v>42066</v>
      </c>
      <c r="B64">
        <v>2020</v>
      </c>
      <c r="C64">
        <v>2</v>
      </c>
      <c r="D64">
        <v>11.709323873603999</v>
      </c>
      <c r="E64" s="4">
        <f t="shared" si="0"/>
        <v>11.489950648680875</v>
      </c>
      <c r="F64">
        <v>13.394062820376</v>
      </c>
      <c r="G64" s="4">
        <f t="shared" si="1"/>
        <v>13.107021350238114</v>
      </c>
      <c r="H64">
        <v>16.282755117215999</v>
      </c>
      <c r="I64" s="4">
        <f t="shared" si="2"/>
        <v>15.858550134484442</v>
      </c>
      <c r="J64">
        <v>9.9637599965400003</v>
      </c>
      <c r="K64" s="4">
        <f t="shared" si="3"/>
        <v>9.8049175753101583</v>
      </c>
      <c r="L64">
        <v>12.386595141396</v>
      </c>
      <c r="M64" s="4">
        <f t="shared" si="4"/>
        <v>12.141110758681032</v>
      </c>
      <c r="N64">
        <v>11.087736483096</v>
      </c>
      <c r="O64" s="4">
        <f t="shared" si="5"/>
        <v>10.891035842586277</v>
      </c>
      <c r="P64">
        <v>3.841226875332</v>
      </c>
      <c r="Q64" s="4">
        <f t="shared" si="6"/>
        <v>3.8176188370795634</v>
      </c>
      <c r="R64">
        <v>8.1202560941880009</v>
      </c>
      <c r="S64" s="4">
        <f t="shared" si="7"/>
        <v>8.0147543997316859</v>
      </c>
      <c r="T64">
        <v>7.7577902813879991</v>
      </c>
      <c r="U64" s="4">
        <f t="shared" si="8"/>
        <v>7.6614969853080019</v>
      </c>
      <c r="V64">
        <v>4.6713694668480006</v>
      </c>
      <c r="W64" s="4">
        <f t="shared" si="9"/>
        <v>4.6364547585347209</v>
      </c>
      <c r="X64">
        <v>7.9148682688319996</v>
      </c>
      <c r="Y64" s="4">
        <f t="shared" si="10"/>
        <v>7.814636045291258</v>
      </c>
      <c r="Z64">
        <v>5.0221365737759998</v>
      </c>
      <c r="AA64" s="4">
        <f t="shared" si="11"/>
        <v>4.981781604550946</v>
      </c>
      <c r="AB64">
        <v>0</v>
      </c>
      <c r="AC64" s="4">
        <f t="shared" si="12"/>
        <v>0</v>
      </c>
      <c r="AD64">
        <v>7.8872584245839992</v>
      </c>
      <c r="AE64" s="4">
        <f t="shared" si="13"/>
        <v>7.7877242718541257</v>
      </c>
      <c r="AF64">
        <v>4.6023490621079999</v>
      </c>
      <c r="AG64" s="4">
        <f t="shared" si="14"/>
        <v>4.5684584750848218</v>
      </c>
      <c r="AH64">
        <v>0</v>
      </c>
      <c r="AI64" s="4">
        <f t="shared" si="15"/>
        <v>0</v>
      </c>
      <c r="AJ64">
        <v>9.5244730396200001</v>
      </c>
      <c r="AK64" s="4">
        <f t="shared" si="16"/>
        <v>9.3793281009280811</v>
      </c>
      <c r="AL64">
        <v>7.2873898889399999</v>
      </c>
      <c r="AM64" s="4">
        <f t="shared" si="17"/>
        <v>7.2024202067105199</v>
      </c>
      <c r="AN64">
        <v>4.501530653004</v>
      </c>
      <c r="AO64" s="4">
        <f t="shared" si="18"/>
        <v>4.469108607852105</v>
      </c>
      <c r="AP64">
        <v>10.65230976096</v>
      </c>
      <c r="AQ64" s="4">
        <f t="shared" si="19"/>
        <v>10.470755035770489</v>
      </c>
      <c r="AR64">
        <v>10.470215406419999</v>
      </c>
      <c r="AS64" s="4">
        <f t="shared" si="20"/>
        <v>10.294814749369065</v>
      </c>
      <c r="AT64">
        <v>2.5304580231839999</v>
      </c>
      <c r="AU64" s="4">
        <f t="shared" si="21"/>
        <v>2.5202128746926458</v>
      </c>
      <c r="AV64">
        <v>1.36792586826</v>
      </c>
      <c r="AW64" s="4">
        <f t="shared" si="22"/>
        <v>1.3649319143703122</v>
      </c>
      <c r="AX64">
        <v>3.3168367824480001</v>
      </c>
      <c r="AY64" s="4">
        <f t="shared" si="23"/>
        <v>3.2992345324617598</v>
      </c>
      <c r="AZ64">
        <v>2.638473833016</v>
      </c>
      <c r="BA64" s="4">
        <f t="shared" si="24"/>
        <v>2.627335362347984</v>
      </c>
      <c r="BB64">
        <v>4.1619281273639999</v>
      </c>
      <c r="BC64" s="4">
        <f t="shared" si="25"/>
        <v>4.1342134941842508</v>
      </c>
      <c r="BD64">
        <v>3.806571996612</v>
      </c>
      <c r="BE64" s="4">
        <f t="shared" si="26"/>
        <v>3.7833880120273746</v>
      </c>
      <c r="BF64">
        <v>4.0037457219480004</v>
      </c>
      <c r="BG64" s="4">
        <f t="shared" si="27"/>
        <v>3.9780977542583731</v>
      </c>
      <c r="BH64">
        <v>3.641808986424</v>
      </c>
      <c r="BI64" s="4">
        <f t="shared" si="28"/>
        <v>3.6205885501142419</v>
      </c>
      <c r="BJ64">
        <v>3.6577406733840001</v>
      </c>
      <c r="BK64" s="4">
        <f t="shared" si="29"/>
        <v>3.6363341664500357</v>
      </c>
      <c r="BL64">
        <v>3.8259189546479999</v>
      </c>
      <c r="BM64" s="4">
        <f t="shared" si="30"/>
        <v>3.8024987052919443</v>
      </c>
      <c r="BN64">
        <v>4.8675320205119998</v>
      </c>
      <c r="BO64" s="4">
        <f t="shared" si="31"/>
        <v>4.8296234317588649</v>
      </c>
      <c r="BP64">
        <v>5.2680450327120001</v>
      </c>
      <c r="BQ64" s="4">
        <f t="shared" si="32"/>
        <v>5.2236413551653094</v>
      </c>
      <c r="BR64">
        <v>3.035148239088</v>
      </c>
      <c r="BS64" s="4">
        <f t="shared" si="33"/>
        <v>3.0204088393548179</v>
      </c>
      <c r="BT64">
        <v>3.6884113083719998</v>
      </c>
      <c r="BU64" s="4">
        <f t="shared" si="34"/>
        <v>3.6666443036044374</v>
      </c>
      <c r="BV64">
        <v>3.9853418025959999</v>
      </c>
      <c r="BW64" s="4">
        <f t="shared" si="35"/>
        <v>3.9599290837423693</v>
      </c>
      <c r="BX64">
        <v>1.6782759818999999</v>
      </c>
      <c r="BY64" s="4">
        <f t="shared" si="36"/>
        <v>1.6737694054657239</v>
      </c>
      <c r="BZ64">
        <v>2.802496759272</v>
      </c>
      <c r="CA64" s="4">
        <f t="shared" si="37"/>
        <v>2.7899303783348319</v>
      </c>
      <c r="CB64">
        <v>2.8918879108560001</v>
      </c>
      <c r="CC64" s="4">
        <f t="shared" si="38"/>
        <v>2.8785070857536721</v>
      </c>
      <c r="CD64">
        <v>4.6945835095320003</v>
      </c>
      <c r="CE64" s="4">
        <f t="shared" si="39"/>
        <v>4.6593209266072488</v>
      </c>
      <c r="CF64">
        <f t="shared" si="40"/>
        <v>5.7545933762105665</v>
      </c>
    </row>
    <row r="65" spans="1:84" x14ac:dyDescent="0.2">
      <c r="A65" s="2">
        <v>42067</v>
      </c>
      <c r="B65">
        <v>2020</v>
      </c>
      <c r="C65">
        <v>3</v>
      </c>
      <c r="D65">
        <v>1.74734222886</v>
      </c>
      <c r="E65" s="4">
        <f t="shared" si="0"/>
        <v>1.7424571010763881</v>
      </c>
      <c r="F65">
        <v>1.9057667970600001</v>
      </c>
      <c r="G65" s="4">
        <f t="shared" si="1"/>
        <v>1.8999556817243581</v>
      </c>
      <c r="H65">
        <v>2.1750429868199999</v>
      </c>
      <c r="I65" s="4">
        <f t="shared" si="2"/>
        <v>2.1674736876287763</v>
      </c>
      <c r="J65">
        <v>1.73275088301</v>
      </c>
      <c r="K65" s="4">
        <f t="shared" si="3"/>
        <v>1.727947002013885</v>
      </c>
      <c r="L65">
        <v>2.3209459734600002</v>
      </c>
      <c r="M65" s="4">
        <f t="shared" si="4"/>
        <v>2.3123271091212478</v>
      </c>
      <c r="N65">
        <v>1.78515755658</v>
      </c>
      <c r="O65" s="4">
        <f t="shared" si="5"/>
        <v>1.7800586965770966</v>
      </c>
      <c r="P65">
        <v>1.0456515884699999</v>
      </c>
      <c r="Q65" s="4">
        <f t="shared" si="6"/>
        <v>1.0439021688788481</v>
      </c>
      <c r="R65">
        <v>1.40583960045</v>
      </c>
      <c r="S65" s="4">
        <f t="shared" si="7"/>
        <v>1.4026773844784906</v>
      </c>
      <c r="T65">
        <v>1.3309999609500001</v>
      </c>
      <c r="U65" s="4">
        <f t="shared" si="8"/>
        <v>1.3281654635163218</v>
      </c>
      <c r="V65">
        <v>1.0648894644</v>
      </c>
      <c r="W65" s="4">
        <f t="shared" si="9"/>
        <v>1.0630750810857759</v>
      </c>
      <c r="X65">
        <v>1.3314100814100001</v>
      </c>
      <c r="Y65" s="4">
        <f t="shared" si="10"/>
        <v>1.3285738369221918</v>
      </c>
      <c r="Z65">
        <v>1.0208792638799999</v>
      </c>
      <c r="AA65" s="4">
        <f t="shared" si="11"/>
        <v>1.0192117527257276</v>
      </c>
      <c r="AB65">
        <v>0.6334425830699999</v>
      </c>
      <c r="AC65" s="4">
        <f t="shared" si="12"/>
        <v>0.63280058386032567</v>
      </c>
      <c r="AD65">
        <v>1.2528481149899999</v>
      </c>
      <c r="AE65" s="4">
        <f t="shared" si="13"/>
        <v>1.2503367095512257</v>
      </c>
      <c r="AF65">
        <v>0.94636251926999992</v>
      </c>
      <c r="AG65" s="4">
        <f t="shared" si="14"/>
        <v>0.94492955604139339</v>
      </c>
      <c r="AH65">
        <v>0.49674676185</v>
      </c>
      <c r="AI65" s="4">
        <f t="shared" si="15"/>
        <v>0.49635195009734645</v>
      </c>
      <c r="AJ65">
        <v>1.45644219882</v>
      </c>
      <c r="AK65" s="4">
        <f t="shared" si="16"/>
        <v>1.4530482406143943</v>
      </c>
      <c r="AL65">
        <v>1.1326132250100001</v>
      </c>
      <c r="AM65" s="4">
        <f t="shared" si="17"/>
        <v>1.1305607246620519</v>
      </c>
      <c r="AN65">
        <v>0.81915152543999992</v>
      </c>
      <c r="AO65" s="4">
        <f t="shared" si="18"/>
        <v>0.81807791068539082</v>
      </c>
      <c r="AP65">
        <v>1.61301471237</v>
      </c>
      <c r="AQ65" s="4">
        <f t="shared" si="19"/>
        <v>1.6088518060302848</v>
      </c>
      <c r="AR65">
        <v>1.5690361833899999</v>
      </c>
      <c r="AS65" s="4">
        <f t="shared" si="20"/>
        <v>1.5650971841183408</v>
      </c>
      <c r="AT65">
        <v>0.7091165828699999</v>
      </c>
      <c r="AU65" s="4">
        <f t="shared" si="21"/>
        <v>0.70831202874503785</v>
      </c>
      <c r="AV65">
        <v>0.64037886147</v>
      </c>
      <c r="AW65" s="4">
        <f t="shared" si="22"/>
        <v>0.63972272533205188</v>
      </c>
      <c r="AX65">
        <v>0.78187197447000001</v>
      </c>
      <c r="AY65" s="4">
        <f t="shared" si="23"/>
        <v>0.78089385641486142</v>
      </c>
      <c r="AZ65">
        <v>0.751021893</v>
      </c>
      <c r="BA65" s="4">
        <f t="shared" si="24"/>
        <v>0.75011943878597553</v>
      </c>
      <c r="BB65">
        <v>0.85987792970999988</v>
      </c>
      <c r="BC65" s="4">
        <f t="shared" si="25"/>
        <v>0.85869490562359618</v>
      </c>
      <c r="BD65">
        <v>0.79914143088</v>
      </c>
      <c r="BE65" s="4">
        <f t="shared" si="26"/>
        <v>0.79811962763752176</v>
      </c>
      <c r="BF65">
        <v>0.88125852582000008</v>
      </c>
      <c r="BG65" s="4">
        <f t="shared" si="27"/>
        <v>0.88001593927707134</v>
      </c>
      <c r="BH65">
        <v>0.76858145712000003</v>
      </c>
      <c r="BI65" s="4">
        <f t="shared" si="28"/>
        <v>0.76763630919003412</v>
      </c>
      <c r="BJ65">
        <v>0.93273625377000002</v>
      </c>
      <c r="BK65" s="4">
        <f t="shared" si="29"/>
        <v>0.93134425869944493</v>
      </c>
      <c r="BL65">
        <v>0.92648022650999984</v>
      </c>
      <c r="BM65" s="4">
        <f t="shared" si="30"/>
        <v>0.9251068415338175</v>
      </c>
      <c r="BN65">
        <v>1.0493953514100001</v>
      </c>
      <c r="BO65" s="4">
        <f t="shared" si="31"/>
        <v>1.0476333824443027</v>
      </c>
      <c r="BP65">
        <v>1.05083880903</v>
      </c>
      <c r="BQ65" s="4">
        <f t="shared" si="32"/>
        <v>1.0490719895058982</v>
      </c>
      <c r="BR65">
        <v>0.78135960816000005</v>
      </c>
      <c r="BS65" s="4">
        <f t="shared" si="33"/>
        <v>0.78038277162037772</v>
      </c>
      <c r="BT65">
        <v>0.89543230532999996</v>
      </c>
      <c r="BU65" s="4">
        <f t="shared" si="34"/>
        <v>0.89414942690851407</v>
      </c>
      <c r="BV65">
        <v>0.98338155264000005</v>
      </c>
      <c r="BW65" s="4">
        <f t="shared" si="35"/>
        <v>0.9818342897950838</v>
      </c>
      <c r="BX65">
        <v>0.71186513903999993</v>
      </c>
      <c r="BY65" s="4">
        <f t="shared" si="36"/>
        <v>0.71105433587811118</v>
      </c>
      <c r="BZ65">
        <v>0.76219889399999996</v>
      </c>
      <c r="CA65" s="4">
        <f t="shared" si="37"/>
        <v>0.76126937855357624</v>
      </c>
      <c r="CB65">
        <v>0.95140944963000007</v>
      </c>
      <c r="CC65" s="4">
        <f t="shared" si="38"/>
        <v>0.94996116172464773</v>
      </c>
      <c r="CD65">
        <v>1.3802299119000001</v>
      </c>
      <c r="CE65" s="4">
        <f t="shared" si="39"/>
        <v>1.3771818565244747</v>
      </c>
      <c r="CF65">
        <f t="shared" si="40"/>
        <v>1.1370229454514662</v>
      </c>
    </row>
    <row r="66" spans="1:84" x14ac:dyDescent="0.2">
      <c r="A66" s="2">
        <v>42068</v>
      </c>
      <c r="B66">
        <v>2020</v>
      </c>
      <c r="C66">
        <v>4</v>
      </c>
      <c r="D66">
        <v>14.676995120932</v>
      </c>
      <c r="E66" s="4">
        <f t="shared" si="0"/>
        <v>14.332332423684221</v>
      </c>
      <c r="F66">
        <v>18.755766991312001</v>
      </c>
      <c r="G66" s="4">
        <f t="shared" si="1"/>
        <v>18.192920918620178</v>
      </c>
      <c r="H66">
        <v>19.38938771594</v>
      </c>
      <c r="I66" s="4">
        <f t="shared" si="2"/>
        <v>18.787870346341524</v>
      </c>
      <c r="J66">
        <v>13.53442799205</v>
      </c>
      <c r="K66" s="4">
        <f t="shared" si="3"/>
        <v>13.241338806334824</v>
      </c>
      <c r="L66">
        <v>19.487469422747999</v>
      </c>
      <c r="M66" s="4">
        <f t="shared" si="4"/>
        <v>18.879851079543936</v>
      </c>
      <c r="N66">
        <v>12.964505657424001</v>
      </c>
      <c r="O66" s="4">
        <f t="shared" si="5"/>
        <v>12.695580206317794</v>
      </c>
      <c r="P66">
        <v>11.673298375988001</v>
      </c>
      <c r="Q66" s="4">
        <f t="shared" si="6"/>
        <v>11.45527294402825</v>
      </c>
      <c r="R66">
        <v>9.9900651214299998</v>
      </c>
      <c r="S66" s="4">
        <f t="shared" si="7"/>
        <v>9.8303828796213395</v>
      </c>
      <c r="T66">
        <v>11.392585980593999</v>
      </c>
      <c r="U66" s="4">
        <f t="shared" si="8"/>
        <v>11.184920356073636</v>
      </c>
      <c r="V66">
        <v>9.7267264223020007</v>
      </c>
      <c r="W66" s="4">
        <f t="shared" si="9"/>
        <v>9.5753516912711074</v>
      </c>
      <c r="X66">
        <v>9.7732478075420008</v>
      </c>
      <c r="Y66" s="4">
        <f t="shared" si="10"/>
        <v>9.6204216112098013</v>
      </c>
      <c r="Z66">
        <v>7.6755955649579999</v>
      </c>
      <c r="AA66" s="4">
        <f t="shared" si="11"/>
        <v>7.5813319373151149</v>
      </c>
      <c r="AB66">
        <v>5.2767014138100006</v>
      </c>
      <c r="AC66" s="4">
        <f t="shared" si="12"/>
        <v>5.2321516893131932</v>
      </c>
      <c r="AD66">
        <v>10.717425459696001</v>
      </c>
      <c r="AE66" s="4">
        <f t="shared" si="13"/>
        <v>10.533644326121378</v>
      </c>
      <c r="AF66">
        <v>8.0714088563880004</v>
      </c>
      <c r="AG66" s="4">
        <f t="shared" si="14"/>
        <v>7.9671726309048347</v>
      </c>
      <c r="AH66">
        <v>6.1352050018540014</v>
      </c>
      <c r="AI66" s="4">
        <f t="shared" si="15"/>
        <v>6.0749798171903624</v>
      </c>
      <c r="AJ66">
        <v>15.021412081068</v>
      </c>
      <c r="AK66" s="4">
        <f t="shared" si="16"/>
        <v>14.660383567613192</v>
      </c>
      <c r="AL66">
        <v>14.413410615082</v>
      </c>
      <c r="AM66" s="4">
        <f t="shared" si="17"/>
        <v>14.081016366187667</v>
      </c>
      <c r="AN66">
        <v>11.358996824251999</v>
      </c>
      <c r="AO66" s="4">
        <f t="shared" si="18"/>
        <v>11.152553930086613</v>
      </c>
      <c r="AP66">
        <v>19.169119059958</v>
      </c>
      <c r="AQ66" s="4">
        <f t="shared" si="19"/>
        <v>18.581190859102247</v>
      </c>
      <c r="AR66">
        <v>19.498724063941999</v>
      </c>
      <c r="AS66" s="4">
        <f t="shared" si="20"/>
        <v>18.890403679747202</v>
      </c>
      <c r="AT66">
        <v>13.042658832334</v>
      </c>
      <c r="AU66" s="4">
        <f t="shared" si="21"/>
        <v>12.770481313267345</v>
      </c>
      <c r="AV66">
        <v>9.9111973573979988</v>
      </c>
      <c r="AW66" s="4">
        <f t="shared" si="22"/>
        <v>9.7540264245063302</v>
      </c>
      <c r="AX66">
        <v>12.777898104554</v>
      </c>
      <c r="AY66" s="4">
        <f t="shared" si="23"/>
        <v>12.516658616601415</v>
      </c>
      <c r="AZ66">
        <v>12.696582815826</v>
      </c>
      <c r="BA66" s="4">
        <f t="shared" si="24"/>
        <v>12.438657671507395</v>
      </c>
      <c r="BB66">
        <v>11.167585179135999</v>
      </c>
      <c r="BC66" s="4">
        <f t="shared" si="25"/>
        <v>10.968041245162786</v>
      </c>
      <c r="BD66">
        <v>12.611896365184</v>
      </c>
      <c r="BE66" s="4">
        <f t="shared" si="26"/>
        <v>12.357400477302173</v>
      </c>
      <c r="BF66">
        <v>11.623746166989999</v>
      </c>
      <c r="BG66" s="4">
        <f t="shared" si="27"/>
        <v>11.407567807062616</v>
      </c>
      <c r="BH66">
        <v>11.216093967818001</v>
      </c>
      <c r="BI66" s="4">
        <f t="shared" si="28"/>
        <v>11.014812745586124</v>
      </c>
      <c r="BJ66">
        <v>11.006265326516001</v>
      </c>
      <c r="BK66" s="4">
        <f t="shared" si="29"/>
        <v>10.812444724215732</v>
      </c>
      <c r="BL66">
        <v>12.149121317914</v>
      </c>
      <c r="BM66" s="4">
        <f t="shared" si="30"/>
        <v>11.912959479838172</v>
      </c>
      <c r="BN66">
        <v>12.274124590132001</v>
      </c>
      <c r="BO66" s="4">
        <f t="shared" si="31"/>
        <v>12.033077975005469</v>
      </c>
      <c r="BP66">
        <v>14.289912643384</v>
      </c>
      <c r="BQ66" s="4">
        <f t="shared" si="32"/>
        <v>13.963190078015126</v>
      </c>
      <c r="BR66">
        <v>13.777644251870001</v>
      </c>
      <c r="BS66" s="4">
        <f t="shared" si="33"/>
        <v>13.473926682060263</v>
      </c>
      <c r="BT66">
        <v>10.706370115284001</v>
      </c>
      <c r="BU66" s="4">
        <f t="shared" si="34"/>
        <v>10.522967937611288</v>
      </c>
      <c r="BV66">
        <v>11.323940098328</v>
      </c>
      <c r="BW66" s="4">
        <f t="shared" si="35"/>
        <v>11.118769507367167</v>
      </c>
      <c r="BX66">
        <v>8.3080217153940001</v>
      </c>
      <c r="BY66" s="4">
        <f t="shared" si="36"/>
        <v>8.1975845556764675</v>
      </c>
      <c r="BZ66">
        <v>9.9258322443079994</v>
      </c>
      <c r="CA66" s="4">
        <f t="shared" si="37"/>
        <v>9.7681968111205677</v>
      </c>
      <c r="CB66">
        <v>12.947695152818</v>
      </c>
      <c r="CC66" s="4">
        <f t="shared" si="38"/>
        <v>12.679466657185509</v>
      </c>
      <c r="CD66">
        <v>15.77990429992</v>
      </c>
      <c r="CE66" s="4">
        <f t="shared" si="39"/>
        <v>15.381495692376586</v>
      </c>
      <c r="CF66">
        <f t="shared" si="40"/>
        <v>12.069725102184441</v>
      </c>
    </row>
    <row r="67" spans="1:84" x14ac:dyDescent="0.2">
      <c r="A67" s="2">
        <v>42069</v>
      </c>
      <c r="B67">
        <v>2020</v>
      </c>
      <c r="C67">
        <v>5</v>
      </c>
      <c r="D67">
        <v>95.921099371669996</v>
      </c>
      <c r="E67" s="4">
        <f t="shared" si="0"/>
        <v>81.199727684198322</v>
      </c>
      <c r="F67">
        <v>96.191757402729991</v>
      </c>
      <c r="G67" s="4">
        <f t="shared" si="1"/>
        <v>81.387190695168925</v>
      </c>
      <c r="H67">
        <v>107.33947298063499</v>
      </c>
      <c r="I67" s="4">
        <f t="shared" si="2"/>
        <v>88.90465304501825</v>
      </c>
      <c r="J67">
        <v>103.96773950636501</v>
      </c>
      <c r="K67" s="4">
        <f t="shared" si="3"/>
        <v>86.672874133463608</v>
      </c>
      <c r="L67">
        <v>105.29441160551499</v>
      </c>
      <c r="M67" s="4">
        <f t="shared" si="4"/>
        <v>87.555350620952424</v>
      </c>
      <c r="N67">
        <v>98.709829024949997</v>
      </c>
      <c r="O67" s="4">
        <f t="shared" si="5"/>
        <v>83.120020471134225</v>
      </c>
      <c r="P67">
        <v>102.52803543491</v>
      </c>
      <c r="Q67" s="4">
        <f t="shared" si="6"/>
        <v>85.708838554682544</v>
      </c>
      <c r="R67">
        <v>96.394157718160002</v>
      </c>
      <c r="S67" s="4">
        <f t="shared" si="7"/>
        <v>81.52722389065039</v>
      </c>
      <c r="T67">
        <v>96.033931984239999</v>
      </c>
      <c r="U67" s="4">
        <f t="shared" si="8"/>
        <v>81.27790623647418</v>
      </c>
      <c r="V67">
        <v>91.106023088225001</v>
      </c>
      <c r="W67" s="4">
        <f t="shared" si="9"/>
        <v>77.825531179501496</v>
      </c>
      <c r="X67">
        <v>91.263256929419995</v>
      </c>
      <c r="Y67" s="4">
        <f t="shared" si="10"/>
        <v>77.936885624835469</v>
      </c>
      <c r="Z67">
        <v>80.361666202229998</v>
      </c>
      <c r="AA67" s="4">
        <f t="shared" si="11"/>
        <v>70.02887037055217</v>
      </c>
      <c r="AB67">
        <v>80.247015380920004</v>
      </c>
      <c r="AC67" s="4">
        <f t="shared" si="12"/>
        <v>69.943681816847018</v>
      </c>
      <c r="AD67">
        <v>91.244697361669992</v>
      </c>
      <c r="AE67" s="4">
        <f t="shared" si="13"/>
        <v>77.923745687073591</v>
      </c>
      <c r="AF67">
        <v>80.66339875365</v>
      </c>
      <c r="AG67" s="4">
        <f t="shared" si="14"/>
        <v>70.252864516065443</v>
      </c>
      <c r="AH67">
        <v>77.289720327530006</v>
      </c>
      <c r="AI67" s="4">
        <f t="shared" si="15"/>
        <v>67.731798938237517</v>
      </c>
      <c r="AJ67">
        <v>87.456792583344992</v>
      </c>
      <c r="AK67" s="4">
        <f t="shared" si="16"/>
        <v>75.218887672999031</v>
      </c>
      <c r="AL67">
        <v>87.88985925573499</v>
      </c>
      <c r="AM67" s="4">
        <f t="shared" si="17"/>
        <v>75.530455479746337</v>
      </c>
      <c r="AN67">
        <v>86.154020437385</v>
      </c>
      <c r="AO67" s="4">
        <f t="shared" si="18"/>
        <v>74.277996057344438</v>
      </c>
      <c r="AP67">
        <v>88.785859433529993</v>
      </c>
      <c r="AQ67" s="4">
        <f t="shared" si="19"/>
        <v>76.173173296969111</v>
      </c>
      <c r="AR67">
        <v>90.170362858960004</v>
      </c>
      <c r="AS67" s="4">
        <f t="shared" si="20"/>
        <v>77.161251917973587</v>
      </c>
      <c r="AT67">
        <v>95.967176702095003</v>
      </c>
      <c r="AU67" s="4">
        <f t="shared" si="21"/>
        <v>81.231658295421212</v>
      </c>
      <c r="AV67">
        <v>84.746740096634994</v>
      </c>
      <c r="AW67" s="4">
        <f t="shared" si="22"/>
        <v>73.255524165424433</v>
      </c>
      <c r="AX67">
        <v>92.539924462054998</v>
      </c>
      <c r="AY67" s="4">
        <f t="shared" si="23"/>
        <v>78.838104270946445</v>
      </c>
      <c r="AZ67">
        <v>95.355834802039993</v>
      </c>
      <c r="BA67" s="4">
        <f t="shared" si="24"/>
        <v>80.807458432769693</v>
      </c>
      <c r="BB67">
        <v>93.888160030289995</v>
      </c>
      <c r="BC67" s="4">
        <f t="shared" si="25"/>
        <v>79.784181480092656</v>
      </c>
      <c r="BD67">
        <v>94.575260868889998</v>
      </c>
      <c r="BE67" s="4">
        <f t="shared" si="26"/>
        <v>80.264092919420236</v>
      </c>
      <c r="BF67">
        <v>92.851374111179993</v>
      </c>
      <c r="BG67" s="4">
        <f t="shared" si="27"/>
        <v>79.057169832245094</v>
      </c>
      <c r="BH67">
        <v>94.625676163959994</v>
      </c>
      <c r="BI67" s="4">
        <f t="shared" si="28"/>
        <v>80.299246420781387</v>
      </c>
      <c r="BJ67">
        <v>92.161932639300005</v>
      </c>
      <c r="BK67" s="4">
        <f t="shared" si="29"/>
        <v>78.57181771480262</v>
      </c>
      <c r="BL67">
        <v>90.498342471114995</v>
      </c>
      <c r="BM67" s="4">
        <f t="shared" si="30"/>
        <v>77.394422487084242</v>
      </c>
      <c r="BN67">
        <v>98.116457997219996</v>
      </c>
      <c r="BO67" s="4">
        <f t="shared" si="31"/>
        <v>82.713515069347622</v>
      </c>
      <c r="BP67">
        <v>95.492629576325001</v>
      </c>
      <c r="BQ67" s="4">
        <f t="shared" si="32"/>
        <v>80.902481890883053</v>
      </c>
      <c r="BR67">
        <v>92.093720491359989</v>
      </c>
      <c r="BS67" s="4">
        <f t="shared" si="33"/>
        <v>78.523715125054807</v>
      </c>
      <c r="BT67">
        <v>94.94017945505</v>
      </c>
      <c r="BU67" s="4">
        <f t="shared" si="34"/>
        <v>80.518359175118647</v>
      </c>
      <c r="BV67">
        <v>87.893511864454993</v>
      </c>
      <c r="BW67" s="4">
        <f t="shared" si="35"/>
        <v>75.533080779867646</v>
      </c>
      <c r="BX67">
        <v>83.820935957830002</v>
      </c>
      <c r="BY67" s="4">
        <f t="shared" si="36"/>
        <v>72.57941707007538</v>
      </c>
      <c r="BZ67">
        <v>88.947266709909997</v>
      </c>
      <c r="CA67" s="4">
        <f t="shared" si="37"/>
        <v>76.288680701647806</v>
      </c>
      <c r="CB67">
        <v>101.03628033216501</v>
      </c>
      <c r="CC67" s="4">
        <f t="shared" si="38"/>
        <v>84.702952422789267</v>
      </c>
      <c r="CD67">
        <v>98.542823963444988</v>
      </c>
      <c r="CE67" s="4">
        <f t="shared" si="39"/>
        <v>83.005722915940183</v>
      </c>
      <c r="CF67">
        <f t="shared" si="40"/>
        <v>79.020633131069857</v>
      </c>
    </row>
    <row r="68" spans="1:84" x14ac:dyDescent="0.2">
      <c r="A68" s="2">
        <v>42070</v>
      </c>
      <c r="B68">
        <v>2020</v>
      </c>
      <c r="C68">
        <v>6</v>
      </c>
      <c r="D68">
        <v>220.77987581874899</v>
      </c>
      <c r="E68" s="4">
        <f t="shared" ref="E68:E98" si="41">IF(D68 &lt; 250, (D68  * (125 - 0.2 * D68 )) / 125, 125 + 0.1 * D68 )</f>
        <v>142.78987011228145</v>
      </c>
      <c r="F68">
        <v>195.572399756409</v>
      </c>
      <c r="G68" s="4">
        <f t="shared" ref="G68:G98" si="42">IF(F68&lt; 250,(F68*(125-0.2*F68))/125,125+0.1*F68 )</f>
        <v>134.37469808203997</v>
      </c>
      <c r="H68">
        <v>194.76972437726701</v>
      </c>
      <c r="I68" s="4">
        <f t="shared" ref="I68:I98" si="43">IF(H68&lt; 250,(H68*(125-0.2*H68))/125,125+0.1*H68 )</f>
        <v>134.07333152287254</v>
      </c>
      <c r="J68">
        <v>229.104392652954</v>
      </c>
      <c r="K68" s="4">
        <f t="shared" ref="K68:K98" si="44">IF(J68&lt; 250,(J68*(125-0.2*J68))/125,125+0.1*J68 )</f>
        <v>145.12227628034773</v>
      </c>
      <c r="L68">
        <v>220.57451393897401</v>
      </c>
      <c r="M68" s="4">
        <f t="shared" ref="M68:M98" si="45">IF(L68&lt; 250,(L68*(125-0.2*L68))/125,125+0.1*L68 )</f>
        <v>142.72952801991059</v>
      </c>
      <c r="N68">
        <v>239.66026060789801</v>
      </c>
      <c r="O68" s="4">
        <f t="shared" ref="O68:O98" si="46">IF(N68&lt; 250,(N68*(125-0.2*N68))/125,125+0.1*N68 )</f>
        <v>147.76099578446508</v>
      </c>
      <c r="P68">
        <v>203.234895663891</v>
      </c>
      <c r="Q68" s="4">
        <f t="shared" ref="Q68:Q98" si="47">IF(P68&lt; 250,(P68*(125-0.2*P68))/125,125+0.1*P68 )</f>
        <v>137.14781915907074</v>
      </c>
      <c r="R68">
        <v>233.724088438737</v>
      </c>
      <c r="S68" s="4">
        <f t="shared" ref="S68:S98" si="48">IF(R68&lt; 250,(R68*(125-0.2*R68))/125,125+0.1*R68 )</f>
        <v>146.32096921230729</v>
      </c>
      <c r="T68">
        <v>214.53187249965899</v>
      </c>
      <c r="U68" s="4">
        <f t="shared" ref="U68:U98" si="49">IF(T68&lt; 250,(T68*(125-0.2*T68))/125,125+0.1*T68 )</f>
        <v>140.8935935905231</v>
      </c>
      <c r="V68">
        <v>209.14313480903701</v>
      </c>
      <c r="W68" s="4">
        <f t="shared" ref="W68:W98" si="50">IF(V68&lt; 250,(V68*(125-0.2*V68))/125,125+0.1*V68 )</f>
        <v>139.15777346863536</v>
      </c>
      <c r="X68">
        <v>241.503403225071</v>
      </c>
      <c r="Y68" s="4">
        <f t="shared" ref="Y68:Y98" si="51">IF(X68&lt; 250,(X68*(125-0.2*X68))/125,125+0.1*X68 )</f>
        <v>148.18517319420502</v>
      </c>
      <c r="Z68">
        <v>231.32647043375999</v>
      </c>
      <c r="AA68" s="4">
        <f t="shared" ref="AA68:AA98" si="52">IF(Z68&lt; 250,(Z68*(125-0.2*Z68))/125,125+0.1*Z68 )</f>
        <v>145.70737295641405</v>
      </c>
      <c r="AB68">
        <v>226.73119214159701</v>
      </c>
      <c r="AC68" s="4">
        <f t="shared" ref="AC68:AC98" si="53">IF(AB68&lt; 250,(AB68*(125-0.2*AB68))/125,125+0.1*AB68 )</f>
        <v>144.47993855767737</v>
      </c>
      <c r="AD68">
        <v>227.56097043014401</v>
      </c>
      <c r="AE68" s="4">
        <f t="shared" ref="AE68:AE98" si="54">IF(AD68&lt; 250,(AD68*(125-0.2*AD68))/125,125+0.1*AD68 )</f>
        <v>144.70657800916979</v>
      </c>
      <c r="AF68">
        <v>211.05838578844501</v>
      </c>
      <c r="AG68" s="4">
        <f t="shared" ref="AG68:AG98" si="55">IF(AF68&lt; 250,(AF68*(125-0.2*AF68))/125,125+0.1*AF68 )</f>
        <v>139.78535824984647</v>
      </c>
      <c r="AH68">
        <v>228.89566427438101</v>
      </c>
      <c r="AI68" s="4">
        <f t="shared" ref="AI68:AI98" si="56">IF(AH68&lt; 250,(AH68*(125-0.2*AH68))/125,125+0.1*AH68 )</f>
        <v>145.06650407660479</v>
      </c>
      <c r="AJ68">
        <v>196.60164543279001</v>
      </c>
      <c r="AK68" s="4">
        <f t="shared" ref="AK68:AK98" si="57">IF(AJ68&lt; 250,(AJ68*(125-0.2*AJ68))/125,125+0.1*AJ68 )</f>
        <v>134.75811425378123</v>
      </c>
      <c r="AL68">
        <v>199.578884696529</v>
      </c>
      <c r="AM68" s="4">
        <f t="shared" ref="AM68:AM98" si="58">IF(AL68&lt; 250,(AL68*(125-0.2*AL68))/125,125+0.1*AL68 )</f>
        <v>135.84811474979233</v>
      </c>
      <c r="AN68">
        <v>191.024537639052</v>
      </c>
      <c r="AO68" s="4">
        <f t="shared" ref="AO68:AO98" si="59">IF(AN68&lt; 250,(AN68*(125-0.2*AN68))/125,125+0.1*AN68 )</f>
        <v>132.63993927071024</v>
      </c>
      <c r="AP68">
        <v>207.91944380040599</v>
      </c>
      <c r="AQ68" s="4">
        <f t="shared" ref="AQ68:AQ98" si="60">IF(AP68&lt; 250,(AP68*(125-0.2*AP68))/125,125+0.1*AP68 )</f>
        <v>138.75065162397368</v>
      </c>
      <c r="AR68">
        <v>191.38677060437999</v>
      </c>
      <c r="AS68" s="4">
        <f t="shared" ref="AS68:AS98" si="61">IF(AR68&lt; 250,(AR68*(125-0.2*AR68))/125,125+0.1*AR68 )</f>
        <v>132.78053706458229</v>
      </c>
      <c r="AT68">
        <v>220.49781188291999</v>
      </c>
      <c r="AU68" s="4">
        <f t="shared" ref="AU68:AU98" si="62">IF(AT68&lt; 250,(AT68*(125-0.2*AT68))/125,125+0.1*AT68 )</f>
        <v>142.70695581067105</v>
      </c>
      <c r="AV68">
        <v>222.591881806164</v>
      </c>
      <c r="AW68" s="4">
        <f t="shared" ref="AW68:AW98" si="63">IF(AV68&lt; 250,(AV68*(125-0.2*AV68))/125,125+0.1*AV68 )</f>
        <v>143.31644845254911</v>
      </c>
      <c r="AX68">
        <v>200.51136391123501</v>
      </c>
      <c r="AY68" s="4">
        <f t="shared" ref="AY68:AY98" si="64">IF(AX68&lt; 250,(AX68*(125-0.2*AX68))/125,125+0.1*AX68 )</f>
        <v>136.18367261916504</v>
      </c>
      <c r="AZ68">
        <v>204.02234869894801</v>
      </c>
      <c r="BA68" s="4">
        <f t="shared" ref="BA68:BA98" si="65">IF(AZ68&lt; 250,(AZ68*(125-0.2*AZ68))/125,125+0.1*AZ68 )</f>
        <v>137.42215866913182</v>
      </c>
      <c r="BB68">
        <v>245.30259551967001</v>
      </c>
      <c r="BC68" s="4">
        <f t="shared" ref="BC68:BC98" si="66">IF(BB68&lt; 250,(BB68*(125-0.2*BB68))/125,125+0.1*BB68 )</f>
        <v>149.02521412977106</v>
      </c>
      <c r="BD68">
        <v>229.77408138441899</v>
      </c>
      <c r="BE68" s="4">
        <f t="shared" ref="BE68:BE98" si="67">IF(BD68&lt; 250,(BD68*(125-0.2*BD68))/125,125+0.1*BD68 )</f>
        <v>145.3002758227332</v>
      </c>
      <c r="BF68">
        <v>270.554691862065</v>
      </c>
      <c r="BG68" s="4">
        <f t="shared" ref="BG68:BG98" si="68">IF(BF68&lt; 250,(BF68*(125-0.2*BF68))/125,125+0.1*BF68 )</f>
        <v>152.05546918620649</v>
      </c>
      <c r="BH68">
        <v>245.57699102016599</v>
      </c>
      <c r="BI68" s="4">
        <f t="shared" ref="BI68:BI98" si="69">IF(BH68&lt; 250,(BH68*(125-0.2*BH68))/125,125+0.1*BH68 )</f>
        <v>149.0840973905361</v>
      </c>
      <c r="BJ68">
        <v>233.31777129094201</v>
      </c>
      <c r="BK68" s="4">
        <f t="shared" ref="BK68:BK98" si="70">IF(BJ68&lt; 250,(BJ68*(125-0.2*BJ68))/125,125+0.1*BJ68 )</f>
        <v>146.21827945066627</v>
      </c>
      <c r="BL68">
        <v>245.84540311827601</v>
      </c>
      <c r="BM68" s="4">
        <f t="shared" ref="BM68:BM98" si="71">IF(BL68&lt; 250,(BL68*(125-0.2*BL68))/125,125+0.1*BL68 )</f>
        <v>149.14146354325578</v>
      </c>
      <c r="BN68">
        <v>244.34668738899899</v>
      </c>
      <c r="BO68" s="4">
        <f t="shared" ref="BO68:BO98" si="72">IF(BN68&lt; 250,(BN68*(125-0.2*BN68))/125,125+0.1*BN68 )</f>
        <v>148.81820156823548</v>
      </c>
      <c r="BP68">
        <v>237.61255455603899</v>
      </c>
      <c r="BQ68" s="4">
        <f t="shared" ref="BQ68:BQ98" si="73">IF(BP68&lt; 250,(BP68*(125-0.2*BP68))/125,125+0.1*BP68 )</f>
        <v>147.27699282380442</v>
      </c>
      <c r="BR68">
        <v>246.886054976613</v>
      </c>
      <c r="BS68" s="4">
        <f t="shared" ref="BS68:BS98" si="74">IF(BR68&lt; 250,(BR68*(125-0.2*BR68))/125,125+0.1*BR68 )</f>
        <v>149.36169634954874</v>
      </c>
      <c r="BT68">
        <v>213.93236794332</v>
      </c>
      <c r="BU68" s="4">
        <f t="shared" ref="BU68:BU98" si="75">IF(BT68&lt; 250,(BT68*(125-0.2*BT68))/125,125+0.1*BT68 )</f>
        <v>140.70507505718231</v>
      </c>
      <c r="BV68">
        <v>229.53272220875101</v>
      </c>
      <c r="BW68" s="4">
        <f t="shared" ref="BW68:BW98" si="76">IF(BV68&lt; 250,(BV68*(125-0.2*BV68))/125,125+0.1*BV68 )</f>
        <v>145.23628930545556</v>
      </c>
      <c r="BX68">
        <v>225.830097436632</v>
      </c>
      <c r="BY68" s="4">
        <f t="shared" ref="BY68:BY98" si="77">IF(BX68&lt; 250,(BX68*(125-0.2*BX68))/125,125+0.1*BX68 )</f>
        <v>144.23132478345008</v>
      </c>
      <c r="BZ68">
        <v>213.494052954507</v>
      </c>
      <c r="CA68" s="4">
        <f t="shared" ref="CA68:CA98" si="78">IF(BZ68&lt; 250,(BZ68*(125-0.2*BZ68))/125,125+0.1*BZ68 )</f>
        <v>140.56651591940005</v>
      </c>
      <c r="CB68">
        <v>239.04941287098299</v>
      </c>
      <c r="CC68" s="4">
        <f t="shared" ref="CC68:CC98" si="79">IF(CB68&lt; 250,(CB68*(125-0.2*CB68))/125,125+0.1*CB68 )</f>
        <v>147.6180180006443</v>
      </c>
      <c r="CD68">
        <v>223.92174618048301</v>
      </c>
      <c r="CE68" s="4">
        <f t="shared" ref="CE68:CE98" si="80">IF(CD68&lt; 250,(CD68*(125-0.2*CD68))/125,125+0.1*CD68 )</f>
        <v>143.69622872045636</v>
      </c>
      <c r="CF68">
        <f t="shared" ref="CF68:CF98" si="81">AVERAGE(E68,G68,I68,K68,M68,O68,Q68,S68,Q68,S68,U68,W68,Y68,AA68,AC68,AE68,AG68,AI68,AK68,AM68,AO68,AQ68,AS68,AU68,AW68,AY68,BA68,BC68,BE68,BG68,BI68,BK68,BM68,BO68,BQ68,BS68,BU68,BW68,BY68,CA68,CC68,CE68)</f>
        <v>142.72648340984409</v>
      </c>
    </row>
    <row r="69" spans="1:84" x14ac:dyDescent="0.2">
      <c r="A69" s="2">
        <v>42071</v>
      </c>
      <c r="B69">
        <v>2020</v>
      </c>
      <c r="C69">
        <v>7</v>
      </c>
      <c r="D69">
        <v>170.9957014453</v>
      </c>
      <c r="E69" s="4">
        <f t="shared" si="41"/>
        <v>124.2124535848677</v>
      </c>
      <c r="F69">
        <v>163.03537406358501</v>
      </c>
      <c r="G69" s="4">
        <f t="shared" si="42"/>
        <v>120.50652094990006</v>
      </c>
      <c r="H69">
        <v>160.20140702992501</v>
      </c>
      <c r="I69" s="4">
        <f t="shared" si="43"/>
        <v>119.13822172693666</v>
      </c>
      <c r="J69">
        <v>181.35931852311001</v>
      </c>
      <c r="K69" s="4">
        <f t="shared" si="44"/>
        <v>128.733394658843</v>
      </c>
      <c r="L69">
        <v>185.03317426964</v>
      </c>
      <c r="M69" s="4">
        <f t="shared" si="45"/>
        <v>130.25353334116164</v>
      </c>
      <c r="N69">
        <v>172.85006095910501</v>
      </c>
      <c r="O69" s="4">
        <f t="shared" si="46"/>
        <v>125.0466312413989</v>
      </c>
      <c r="P69">
        <v>161.75466518574501</v>
      </c>
      <c r="Q69" s="4">
        <f t="shared" si="47"/>
        <v>119.89135045078106</v>
      </c>
      <c r="R69">
        <v>163.34232710200999</v>
      </c>
      <c r="S69" s="4">
        <f t="shared" si="48"/>
        <v>120.65318178504994</v>
      </c>
      <c r="T69">
        <v>147.31212092856001</v>
      </c>
      <c r="U69" s="4">
        <f t="shared" si="49"/>
        <v>112.59074337260691</v>
      </c>
      <c r="V69">
        <v>149.33515563455501</v>
      </c>
      <c r="W69" s="4">
        <f t="shared" si="50"/>
        <v>113.65357370112018</v>
      </c>
      <c r="X69">
        <v>171.88624026798001</v>
      </c>
      <c r="Y69" s="4">
        <f t="shared" si="51"/>
        <v>124.61443291844121</v>
      </c>
      <c r="Z69">
        <v>132.01651598066499</v>
      </c>
      <c r="AA69" s="4">
        <f t="shared" si="52"/>
        <v>104.13113919398791</v>
      </c>
      <c r="AB69">
        <v>123.45527462536501</v>
      </c>
      <c r="AC69" s="4">
        <f t="shared" si="53"/>
        <v>99.069346892846141</v>
      </c>
      <c r="AD69">
        <v>161.19936422750999</v>
      </c>
      <c r="AE69" s="4">
        <f t="shared" si="54"/>
        <v>119.62298818374451</v>
      </c>
      <c r="AF69">
        <v>126.80517070076</v>
      </c>
      <c r="AG69" s="4">
        <f t="shared" si="55"/>
        <v>101.07788859444179</v>
      </c>
      <c r="AH69">
        <v>133.56694604736501</v>
      </c>
      <c r="AI69" s="4">
        <f t="shared" si="56"/>
        <v>105.02273952509347</v>
      </c>
      <c r="AJ69">
        <v>155.831040001345</v>
      </c>
      <c r="AK69" s="4">
        <f t="shared" si="57"/>
        <v>116.97773915670376</v>
      </c>
      <c r="AL69">
        <v>140.73232612184501</v>
      </c>
      <c r="AM69" s="4">
        <f t="shared" si="58"/>
        <v>109.04338593678047</v>
      </c>
      <c r="AN69">
        <v>146.59538488442499</v>
      </c>
      <c r="AO69" s="4">
        <f t="shared" si="59"/>
        <v>112.21105389336466</v>
      </c>
      <c r="AP69">
        <v>158.59472420845</v>
      </c>
      <c r="AQ69" s="4">
        <f t="shared" si="60"/>
        <v>118.35106573364308</v>
      </c>
      <c r="AR69">
        <v>143.73696684913</v>
      </c>
      <c r="AS69" s="4">
        <f t="shared" si="61"/>
        <v>110.68046182674937</v>
      </c>
      <c r="AT69">
        <v>177.75359090858001</v>
      </c>
      <c r="AU69" s="4">
        <f t="shared" si="62"/>
        <v>127.19944837914829</v>
      </c>
      <c r="AV69">
        <v>152.33113626556499</v>
      </c>
      <c r="AW69" s="4">
        <f t="shared" si="63"/>
        <v>115.20349614403197</v>
      </c>
      <c r="AX69">
        <v>158.83468514174501</v>
      </c>
      <c r="AY69" s="4">
        <f t="shared" si="64"/>
        <v>118.46915361522137</v>
      </c>
      <c r="AZ69">
        <v>178.00510546525001</v>
      </c>
      <c r="BA69" s="4">
        <f t="shared" si="65"/>
        <v>127.30779735053835</v>
      </c>
      <c r="BB69">
        <v>176.12057795871499</v>
      </c>
      <c r="BC69" s="4">
        <f t="shared" si="66"/>
        <v>126.4910451898961</v>
      </c>
      <c r="BD69">
        <v>179.14476293531001</v>
      </c>
      <c r="BE69" s="4">
        <f t="shared" si="67"/>
        <v>127.79620919587254</v>
      </c>
      <c r="BF69">
        <v>192.89582159408999</v>
      </c>
      <c r="BG69" s="4">
        <f t="shared" si="68"/>
        <v>133.3617448125556</v>
      </c>
      <c r="BH69">
        <v>197.467295203585</v>
      </c>
      <c r="BI69" s="4">
        <f t="shared" si="69"/>
        <v>135.07796292355334</v>
      </c>
      <c r="BJ69">
        <v>182.769201786835</v>
      </c>
      <c r="BK69" s="4">
        <f t="shared" si="70"/>
        <v>129.32187199196011</v>
      </c>
      <c r="BL69">
        <v>199.17089369953001</v>
      </c>
      <c r="BM69" s="4">
        <f t="shared" si="71"/>
        <v>135.70042186421884</v>
      </c>
      <c r="BN69">
        <v>203.98981298552999</v>
      </c>
      <c r="BO69" s="4">
        <f t="shared" si="72"/>
        <v>137.4108629025356</v>
      </c>
      <c r="BP69">
        <v>201.44141093959001</v>
      </c>
      <c r="BQ69" s="4">
        <f t="shared" si="73"/>
        <v>136.51558367345757</v>
      </c>
      <c r="BR69">
        <v>199.195623067675</v>
      </c>
      <c r="BS69" s="4">
        <f t="shared" si="74"/>
        <v>135.70938906876418</v>
      </c>
      <c r="BT69">
        <v>161.75334405933501</v>
      </c>
      <c r="BU69" s="4">
        <f t="shared" si="75"/>
        <v>119.89071315633083</v>
      </c>
      <c r="BV69">
        <v>163.27191333429499</v>
      </c>
      <c r="BW69" s="4">
        <f t="shared" si="76"/>
        <v>120.61956504014854</v>
      </c>
      <c r="BX69">
        <v>155.73787216549999</v>
      </c>
      <c r="BY69" s="4">
        <f t="shared" si="77"/>
        <v>116.93101644287979</v>
      </c>
      <c r="BZ69">
        <v>175.09726739475499</v>
      </c>
      <c r="CA69" s="4">
        <f t="shared" si="78"/>
        <v>126.04278251617848</v>
      </c>
      <c r="CB69">
        <v>191.15956287046001</v>
      </c>
      <c r="CC69" s="4">
        <f t="shared" si="79"/>
        <v>132.69239730753944</v>
      </c>
      <c r="CD69">
        <v>196.532326615155</v>
      </c>
      <c r="CE69" s="4">
        <f t="shared" si="80"/>
        <v>134.73239796752947</v>
      </c>
      <c r="CF69">
        <f t="shared" si="81"/>
        <v>121.72619615349174</v>
      </c>
    </row>
    <row r="70" spans="1:84" x14ac:dyDescent="0.2">
      <c r="A70" s="2">
        <v>42072</v>
      </c>
      <c r="B70">
        <v>2020</v>
      </c>
      <c r="C70">
        <v>8</v>
      </c>
      <c r="D70">
        <v>323.57471021800399</v>
      </c>
      <c r="E70" s="4">
        <f t="shared" si="41"/>
        <v>157.35747102180039</v>
      </c>
      <c r="F70">
        <v>339.47793784100799</v>
      </c>
      <c r="G70" s="4">
        <f t="shared" si="42"/>
        <v>158.94779378410081</v>
      </c>
      <c r="H70">
        <v>316.72917685366201</v>
      </c>
      <c r="I70" s="4">
        <f t="shared" si="43"/>
        <v>156.6729176853662</v>
      </c>
      <c r="J70">
        <v>316.23086493027199</v>
      </c>
      <c r="K70" s="4">
        <f t="shared" si="44"/>
        <v>156.62308649302719</v>
      </c>
      <c r="L70">
        <v>303.93744699464003</v>
      </c>
      <c r="M70" s="4">
        <f t="shared" si="45"/>
        <v>155.39374469946401</v>
      </c>
      <c r="N70">
        <v>305.89063785274197</v>
      </c>
      <c r="O70" s="4">
        <f t="shared" si="46"/>
        <v>155.58906378527419</v>
      </c>
      <c r="P70">
        <v>253.900694914236</v>
      </c>
      <c r="Q70" s="4">
        <f t="shared" si="47"/>
        <v>150.39006949142362</v>
      </c>
      <c r="R70">
        <v>298.03580852988603</v>
      </c>
      <c r="S70" s="4">
        <f t="shared" si="48"/>
        <v>154.8035808529886</v>
      </c>
      <c r="T70">
        <v>269.681708991964</v>
      </c>
      <c r="U70" s="4">
        <f t="shared" si="49"/>
        <v>151.96817089919639</v>
      </c>
      <c r="V70">
        <v>271.60505152440601</v>
      </c>
      <c r="W70" s="4">
        <f t="shared" si="50"/>
        <v>152.16050515244061</v>
      </c>
      <c r="X70">
        <v>312.358006570604</v>
      </c>
      <c r="Y70" s="4">
        <f t="shared" si="51"/>
        <v>156.23580065706039</v>
      </c>
      <c r="Z70">
        <v>271.80298174555998</v>
      </c>
      <c r="AA70" s="4">
        <f t="shared" si="52"/>
        <v>152.18029817455601</v>
      </c>
      <c r="AB70">
        <v>263.57017768705998</v>
      </c>
      <c r="AC70" s="4">
        <f t="shared" si="53"/>
        <v>151.35701776870599</v>
      </c>
      <c r="AD70">
        <v>330.62460446681001</v>
      </c>
      <c r="AE70" s="4">
        <f t="shared" si="54"/>
        <v>158.062460446681</v>
      </c>
      <c r="AF70">
        <v>281.87750274788601</v>
      </c>
      <c r="AG70" s="4">
        <f t="shared" si="55"/>
        <v>153.18775027478861</v>
      </c>
      <c r="AH70">
        <v>274.70143984570802</v>
      </c>
      <c r="AI70" s="4">
        <f t="shared" si="56"/>
        <v>152.4701439845708</v>
      </c>
      <c r="AJ70">
        <v>337.09188067630402</v>
      </c>
      <c r="AK70" s="4">
        <f t="shared" si="57"/>
        <v>158.70918806763041</v>
      </c>
      <c r="AL70">
        <v>301.08000187096002</v>
      </c>
      <c r="AM70" s="4">
        <f t="shared" si="58"/>
        <v>155.108000187096</v>
      </c>
      <c r="AN70">
        <v>293.80709132110201</v>
      </c>
      <c r="AO70" s="4">
        <f t="shared" si="59"/>
        <v>154.38070913211021</v>
      </c>
      <c r="AP70">
        <v>327.73299284977003</v>
      </c>
      <c r="AQ70" s="4">
        <f t="shared" si="60"/>
        <v>157.77329928497701</v>
      </c>
      <c r="AR70">
        <v>301.99246174264601</v>
      </c>
      <c r="AS70" s="4">
        <f t="shared" si="61"/>
        <v>155.1992461742646</v>
      </c>
      <c r="AT70">
        <v>310.65197090639998</v>
      </c>
      <c r="AU70" s="4">
        <f t="shared" si="62"/>
        <v>156.06519709064</v>
      </c>
      <c r="AV70">
        <v>288.22513395791202</v>
      </c>
      <c r="AW70" s="4">
        <f t="shared" si="63"/>
        <v>153.82251339579119</v>
      </c>
      <c r="AX70">
        <v>299.12828016420599</v>
      </c>
      <c r="AY70" s="4">
        <f t="shared" si="64"/>
        <v>154.9128280164206</v>
      </c>
      <c r="AZ70">
        <v>326.88373995450797</v>
      </c>
      <c r="BA70" s="4">
        <f t="shared" si="65"/>
        <v>157.6883739954508</v>
      </c>
      <c r="BB70">
        <v>274.38954254797801</v>
      </c>
      <c r="BC70" s="4">
        <f t="shared" si="66"/>
        <v>152.43895425479781</v>
      </c>
      <c r="BD70">
        <v>285.53199035447</v>
      </c>
      <c r="BE70" s="4">
        <f t="shared" si="67"/>
        <v>153.55319903544699</v>
      </c>
      <c r="BF70">
        <v>305.29273524099398</v>
      </c>
      <c r="BG70" s="4">
        <f t="shared" si="68"/>
        <v>155.52927352409941</v>
      </c>
      <c r="BH70">
        <v>312.20409189488203</v>
      </c>
      <c r="BI70" s="4">
        <f t="shared" si="69"/>
        <v>156.22040918948821</v>
      </c>
      <c r="BJ70">
        <v>306.54530521495599</v>
      </c>
      <c r="BK70" s="4">
        <f t="shared" si="70"/>
        <v>155.65453052149559</v>
      </c>
      <c r="BL70">
        <v>320.56813722915399</v>
      </c>
      <c r="BM70" s="4">
        <f t="shared" si="71"/>
        <v>157.05681372291539</v>
      </c>
      <c r="BN70">
        <v>301.91248236313999</v>
      </c>
      <c r="BO70" s="4">
        <f t="shared" si="72"/>
        <v>155.19124823631401</v>
      </c>
      <c r="BP70">
        <v>295.69519753417001</v>
      </c>
      <c r="BQ70" s="4">
        <f t="shared" si="73"/>
        <v>154.56951975341701</v>
      </c>
      <c r="BR70">
        <v>325.88434181754798</v>
      </c>
      <c r="BS70" s="4">
        <f t="shared" si="74"/>
        <v>157.58843418175479</v>
      </c>
      <c r="BT70">
        <v>263.96279001128403</v>
      </c>
      <c r="BU70" s="4">
        <f t="shared" si="75"/>
        <v>151.39627900112839</v>
      </c>
      <c r="BV70">
        <v>280.013012180126</v>
      </c>
      <c r="BW70" s="4">
        <f t="shared" si="76"/>
        <v>153.0013012180126</v>
      </c>
      <c r="BX70">
        <v>287.52960307696202</v>
      </c>
      <c r="BY70" s="4">
        <f t="shared" si="77"/>
        <v>153.75296030769621</v>
      </c>
      <c r="BZ70">
        <v>302.92918299886799</v>
      </c>
      <c r="CA70" s="4">
        <f t="shared" si="78"/>
        <v>155.29291829988679</v>
      </c>
      <c r="CB70">
        <v>330.48398687579999</v>
      </c>
      <c r="CC70" s="4">
        <f t="shared" si="79"/>
        <v>158.04839868758</v>
      </c>
      <c r="CD70">
        <v>311.77846944985799</v>
      </c>
      <c r="CE70" s="4">
        <f t="shared" si="80"/>
        <v>156.17784694498579</v>
      </c>
      <c r="CF70">
        <f t="shared" si="81"/>
        <v>154.94583256522037</v>
      </c>
    </row>
    <row r="71" spans="1:84" x14ac:dyDescent="0.2">
      <c r="A71" s="2">
        <v>42073</v>
      </c>
      <c r="B71">
        <v>2020</v>
      </c>
      <c r="C71">
        <v>9</v>
      </c>
      <c r="D71">
        <v>265.95187580300001</v>
      </c>
      <c r="E71" s="4">
        <f t="shared" si="41"/>
        <v>151.59518758030001</v>
      </c>
      <c r="F71">
        <v>266.46036749170003</v>
      </c>
      <c r="G71" s="4">
        <f t="shared" si="42"/>
        <v>151.64603674917001</v>
      </c>
      <c r="H71">
        <v>281.40760715712003</v>
      </c>
      <c r="I71" s="4">
        <f t="shared" si="43"/>
        <v>153.14076071571202</v>
      </c>
      <c r="J71">
        <v>264.42510953879997</v>
      </c>
      <c r="K71" s="4">
        <f t="shared" si="44"/>
        <v>151.44251095388</v>
      </c>
      <c r="L71">
        <v>248.90334222682</v>
      </c>
      <c r="M71" s="4">
        <f t="shared" si="45"/>
        <v>149.77874419212964</v>
      </c>
      <c r="N71">
        <v>263.50346130449998</v>
      </c>
      <c r="O71" s="4">
        <f t="shared" si="46"/>
        <v>151.35034613044999</v>
      </c>
      <c r="P71">
        <v>213.73803918781999</v>
      </c>
      <c r="Q71" s="4">
        <f t="shared" si="47"/>
        <v>140.64372015445349</v>
      </c>
      <c r="R71">
        <v>267.98461090306</v>
      </c>
      <c r="S71" s="4">
        <f t="shared" si="48"/>
        <v>151.79846109030601</v>
      </c>
      <c r="T71">
        <v>249.84673663449999</v>
      </c>
      <c r="U71" s="4">
        <f t="shared" si="49"/>
        <v>149.96930974344528</v>
      </c>
      <c r="V71">
        <v>230.10062283596</v>
      </c>
      <c r="W71" s="4">
        <f t="shared" si="50"/>
        <v>145.38654822876526</v>
      </c>
      <c r="X71">
        <v>264.54002191055997</v>
      </c>
      <c r="Y71" s="4">
        <f t="shared" si="51"/>
        <v>151.45400219105599</v>
      </c>
      <c r="Z71">
        <v>240.64992149602</v>
      </c>
      <c r="AA71" s="4">
        <f t="shared" si="52"/>
        <v>147.99010595035503</v>
      </c>
      <c r="AB71">
        <v>225.87865775291999</v>
      </c>
      <c r="AC71" s="4">
        <f t="shared" si="53"/>
        <v>144.24478890770274</v>
      </c>
      <c r="AD71">
        <v>274.15895880703999</v>
      </c>
      <c r="AE71" s="4">
        <f t="shared" si="54"/>
        <v>152.415895880704</v>
      </c>
      <c r="AF71">
        <v>250.10268317996</v>
      </c>
      <c r="AG71" s="4">
        <f t="shared" si="55"/>
        <v>150.01026831799601</v>
      </c>
      <c r="AH71">
        <v>239.87336072575999</v>
      </c>
      <c r="AI71" s="4">
        <f t="shared" si="56"/>
        <v>147.81059402836709</v>
      </c>
      <c r="AJ71">
        <v>263.12167862754001</v>
      </c>
      <c r="AK71" s="4">
        <f t="shared" si="57"/>
        <v>151.31216786275399</v>
      </c>
      <c r="AL71">
        <v>249.15001317282</v>
      </c>
      <c r="AM71" s="4">
        <f t="shared" si="58"/>
        <v>149.82884667039377</v>
      </c>
      <c r="AN71">
        <v>246.23335345504</v>
      </c>
      <c r="AO71" s="4">
        <f t="shared" si="59"/>
        <v>149.22397048909653</v>
      </c>
      <c r="AP71">
        <v>264.2235938851</v>
      </c>
      <c r="AQ71" s="4">
        <f t="shared" si="60"/>
        <v>151.42235938851002</v>
      </c>
      <c r="AR71">
        <v>237.27499729848</v>
      </c>
      <c r="AS71" s="4">
        <f t="shared" si="61"/>
        <v>147.19591834969006</v>
      </c>
      <c r="AT71">
        <v>266.66370810464002</v>
      </c>
      <c r="AU71" s="4">
        <f t="shared" si="62"/>
        <v>151.666370810464</v>
      </c>
      <c r="AV71">
        <v>251.42427715098</v>
      </c>
      <c r="AW71" s="4">
        <f t="shared" si="63"/>
        <v>150.14242771509799</v>
      </c>
      <c r="AX71">
        <v>243.23268620892</v>
      </c>
      <c r="AY71" s="4">
        <f t="shared" si="64"/>
        <v>148.57326278426888</v>
      </c>
      <c r="AZ71">
        <v>264.30713529846003</v>
      </c>
      <c r="BA71" s="4">
        <f t="shared" si="65"/>
        <v>151.430713529846</v>
      </c>
      <c r="BB71">
        <v>223.45402259421999</v>
      </c>
      <c r="BC71" s="4">
        <f t="shared" si="66"/>
        <v>143.56330225255891</v>
      </c>
      <c r="BD71">
        <v>242.41842819754001</v>
      </c>
      <c r="BE71" s="4">
        <f t="shared" si="67"/>
        <v>148.39171726991464</v>
      </c>
      <c r="BF71">
        <v>236.01935413071999</v>
      </c>
      <c r="BG71" s="4">
        <f t="shared" si="68"/>
        <v>146.89113729186846</v>
      </c>
      <c r="BH71">
        <v>247.91318608</v>
      </c>
      <c r="BI71" s="4">
        <f t="shared" si="69"/>
        <v>149.57566954826126</v>
      </c>
      <c r="BJ71">
        <v>252.64996221324</v>
      </c>
      <c r="BK71" s="4">
        <f t="shared" si="70"/>
        <v>150.264996221324</v>
      </c>
      <c r="BL71">
        <v>258.13512894576002</v>
      </c>
      <c r="BM71" s="4">
        <f t="shared" si="71"/>
        <v>150.81351289457601</v>
      </c>
      <c r="BN71">
        <v>256.37613452348</v>
      </c>
      <c r="BO71" s="4">
        <f t="shared" si="72"/>
        <v>150.63761345234801</v>
      </c>
      <c r="BP71">
        <v>257.52971645804001</v>
      </c>
      <c r="BQ71" s="4">
        <f t="shared" si="73"/>
        <v>150.752971645804</v>
      </c>
      <c r="BR71">
        <v>275.85471557250003</v>
      </c>
      <c r="BS71" s="4">
        <f t="shared" si="74"/>
        <v>152.58547155725</v>
      </c>
      <c r="BT71">
        <v>216.39299530476001</v>
      </c>
      <c r="BU71" s="4">
        <f t="shared" si="75"/>
        <v>141.47150983761458</v>
      </c>
      <c r="BV71">
        <v>242.10461466176</v>
      </c>
      <c r="BW71" s="4">
        <f t="shared" si="76"/>
        <v>148.32118355692913</v>
      </c>
      <c r="BX71">
        <v>243.73630143048001</v>
      </c>
      <c r="BY71" s="4">
        <f t="shared" si="77"/>
        <v>148.68448601446428</v>
      </c>
      <c r="BZ71">
        <v>262.21630819275998</v>
      </c>
      <c r="CA71" s="4">
        <f t="shared" si="78"/>
        <v>151.22163081927602</v>
      </c>
      <c r="CB71">
        <v>287.59623645196001</v>
      </c>
      <c r="CC71" s="4">
        <f t="shared" si="79"/>
        <v>153.759623645196</v>
      </c>
      <c r="CD71">
        <v>282.3413552801</v>
      </c>
      <c r="CE71" s="4">
        <f t="shared" si="80"/>
        <v>153.23413552801</v>
      </c>
      <c r="CF71">
        <f t="shared" si="81"/>
        <v>149.38296336178738</v>
      </c>
    </row>
    <row r="72" spans="1:84" x14ac:dyDescent="0.2">
      <c r="A72" s="2">
        <v>42074</v>
      </c>
      <c r="B72">
        <v>2020</v>
      </c>
      <c r="C72">
        <v>10</v>
      </c>
      <c r="D72">
        <v>297.41718040229398</v>
      </c>
      <c r="E72" s="4">
        <f t="shared" si="41"/>
        <v>154.74171804022939</v>
      </c>
      <c r="F72">
        <v>260.16869351309998</v>
      </c>
      <c r="G72" s="4">
        <f t="shared" si="42"/>
        <v>151.01686935130999</v>
      </c>
      <c r="H72">
        <v>287.08538811105001</v>
      </c>
      <c r="I72" s="4">
        <f t="shared" si="43"/>
        <v>153.708538811105</v>
      </c>
      <c r="J72">
        <v>289.48658091383999</v>
      </c>
      <c r="K72" s="4">
        <f t="shared" si="44"/>
        <v>153.948658091384</v>
      </c>
      <c r="L72">
        <v>304.92617947957802</v>
      </c>
      <c r="M72" s="4">
        <f t="shared" si="45"/>
        <v>155.4926179479578</v>
      </c>
      <c r="N72">
        <v>291.25286194822201</v>
      </c>
      <c r="O72" s="4">
        <f t="shared" si="46"/>
        <v>154.12528619482219</v>
      </c>
      <c r="P72">
        <v>256.83493594474203</v>
      </c>
      <c r="Q72" s="4">
        <f t="shared" si="47"/>
        <v>150.68349359447421</v>
      </c>
      <c r="R72">
        <v>270.18782422357202</v>
      </c>
      <c r="S72" s="4">
        <f t="shared" si="48"/>
        <v>152.01878242235722</v>
      </c>
      <c r="T72">
        <v>263.57843407974002</v>
      </c>
      <c r="U72" s="4">
        <f t="shared" si="49"/>
        <v>151.357843407974</v>
      </c>
      <c r="V72">
        <v>250.523188378566</v>
      </c>
      <c r="W72" s="4">
        <f t="shared" si="50"/>
        <v>150.0523188378566</v>
      </c>
      <c r="X72">
        <v>265.69110466731001</v>
      </c>
      <c r="Y72" s="4">
        <f t="shared" si="51"/>
        <v>151.56911046673099</v>
      </c>
      <c r="Z72">
        <v>243.03579905154601</v>
      </c>
      <c r="AA72" s="4">
        <f t="shared" si="52"/>
        <v>148.52955965854846</v>
      </c>
      <c r="AB72">
        <v>223.854674078502</v>
      </c>
      <c r="AC72" s="4">
        <f t="shared" si="53"/>
        <v>143.67720990763425</v>
      </c>
      <c r="AD72">
        <v>276.18549833567403</v>
      </c>
      <c r="AE72" s="4">
        <f t="shared" si="54"/>
        <v>152.61854983356741</v>
      </c>
      <c r="AF72">
        <v>228.160712254392</v>
      </c>
      <c r="AG72" s="4">
        <f t="shared" si="55"/>
        <v>144.86901526810163</v>
      </c>
      <c r="AH72">
        <v>219.95011762179601</v>
      </c>
      <c r="AI72" s="4">
        <f t="shared" si="56"/>
        <v>142.54523083484898</v>
      </c>
      <c r="AJ72">
        <v>241.12498581735599</v>
      </c>
      <c r="AK72" s="4">
        <f t="shared" si="57"/>
        <v>148.09897176068378</v>
      </c>
      <c r="AL72">
        <v>237.563086312302</v>
      </c>
      <c r="AM72" s="4">
        <f t="shared" si="58"/>
        <v>147.26513434713999</v>
      </c>
      <c r="AN72">
        <v>216.62036973323401</v>
      </c>
      <c r="AO72" s="4">
        <f t="shared" si="59"/>
        <v>141.54135439985322</v>
      </c>
      <c r="AP72">
        <v>242.82198620957399</v>
      </c>
      <c r="AQ72" s="4">
        <f t="shared" si="60"/>
        <v>148.4819590307539</v>
      </c>
      <c r="AR72">
        <v>239.22610397631601</v>
      </c>
      <c r="AS72" s="4">
        <f t="shared" si="61"/>
        <v>147.65949785841656</v>
      </c>
      <c r="AT72">
        <v>238.00283313379799</v>
      </c>
      <c r="AU72" s="4">
        <f t="shared" si="62"/>
        <v>147.37027540625479</v>
      </c>
      <c r="AV72">
        <v>229.004031560622</v>
      </c>
      <c r="AW72" s="4">
        <f t="shared" si="63"/>
        <v>145.09547720699263</v>
      </c>
      <c r="AX72">
        <v>221.93973963419401</v>
      </c>
      <c r="AY72" s="4">
        <f t="shared" si="64"/>
        <v>143.12814278796387</v>
      </c>
      <c r="AZ72">
        <v>224.10180784677601</v>
      </c>
      <c r="BA72" s="4">
        <f t="shared" si="65"/>
        <v>143.74721539846669</v>
      </c>
      <c r="BB72">
        <v>232.26681233353801</v>
      </c>
      <c r="BC72" s="4">
        <f t="shared" si="66"/>
        <v>145.95021695500529</v>
      </c>
      <c r="BD72">
        <v>248.93004508335</v>
      </c>
      <c r="BE72" s="4">
        <f t="shared" si="67"/>
        <v>149.78417733103214</v>
      </c>
      <c r="BF72">
        <v>240.584893857498</v>
      </c>
      <c r="BG72" s="4">
        <f t="shared" si="68"/>
        <v>147.97514801362027</v>
      </c>
      <c r="BH72">
        <v>247.64278338178801</v>
      </c>
      <c r="BI72" s="4">
        <f t="shared" si="69"/>
        <v>149.51966632406135</v>
      </c>
      <c r="BJ72">
        <v>251.649571416936</v>
      </c>
      <c r="BK72" s="4">
        <f t="shared" si="70"/>
        <v>150.16495714169361</v>
      </c>
      <c r="BL72">
        <v>247.54122589806599</v>
      </c>
      <c r="BM72" s="4">
        <f t="shared" si="71"/>
        <v>149.49857226747824</v>
      </c>
      <c r="BN72">
        <v>240.46033162291801</v>
      </c>
      <c r="BO72" s="4">
        <f t="shared" si="72"/>
        <v>147.94645788819207</v>
      </c>
      <c r="BP72">
        <v>248.442863195982</v>
      </c>
      <c r="BQ72" s="4">
        <f t="shared" si="73"/>
        <v>149.68469315915411</v>
      </c>
      <c r="BR72">
        <v>245.01521721004801</v>
      </c>
      <c r="BS72" s="4">
        <f t="shared" si="74"/>
        <v>148.96328654686877</v>
      </c>
      <c r="BT72">
        <v>248.48762977657199</v>
      </c>
      <c r="BU72" s="4">
        <f t="shared" si="75"/>
        <v>149.69386633340605</v>
      </c>
      <c r="BV72">
        <v>253.783013263356</v>
      </c>
      <c r="BW72" s="4">
        <f t="shared" si="76"/>
        <v>150.37830132633559</v>
      </c>
      <c r="BX72">
        <v>231.979252526436</v>
      </c>
      <c r="BY72" s="4">
        <f t="shared" si="77"/>
        <v>145.87625476207765</v>
      </c>
      <c r="BZ72">
        <v>239.550260346036</v>
      </c>
      <c r="CA72" s="4">
        <f t="shared" si="78"/>
        <v>147.73533677507018</v>
      </c>
      <c r="CB72">
        <v>240.46456468066199</v>
      </c>
      <c r="CC72" s="4">
        <f t="shared" si="79"/>
        <v>147.94743369336558</v>
      </c>
      <c r="CD72">
        <v>245.68709720372399</v>
      </c>
      <c r="CE72" s="4">
        <f t="shared" si="80"/>
        <v>149.10765763189661</v>
      </c>
      <c r="CF72">
        <f t="shared" si="81"/>
        <v>148.95883650075038</v>
      </c>
    </row>
    <row r="73" spans="1:84" x14ac:dyDescent="0.2">
      <c r="A73" s="2">
        <v>42075</v>
      </c>
      <c r="B73">
        <v>2020</v>
      </c>
      <c r="C73">
        <v>11</v>
      </c>
      <c r="D73">
        <v>548.75873412462101</v>
      </c>
      <c r="E73" s="4">
        <f t="shared" si="41"/>
        <v>179.87587341246211</v>
      </c>
      <c r="F73">
        <v>500.52241520279699</v>
      </c>
      <c r="G73" s="4">
        <f t="shared" si="42"/>
        <v>175.05224152027969</v>
      </c>
      <c r="H73">
        <v>599.45922512080301</v>
      </c>
      <c r="I73" s="4">
        <f t="shared" si="43"/>
        <v>184.9459225120803</v>
      </c>
      <c r="J73">
        <v>512.97940324211402</v>
      </c>
      <c r="K73" s="4">
        <f t="shared" si="44"/>
        <v>176.2979403242114</v>
      </c>
      <c r="L73">
        <v>774.17019696298996</v>
      </c>
      <c r="M73" s="4">
        <f t="shared" si="45"/>
        <v>202.41701969629901</v>
      </c>
      <c r="N73">
        <v>473.29076707089303</v>
      </c>
      <c r="O73" s="4">
        <f t="shared" si="46"/>
        <v>172.32907670708931</v>
      </c>
      <c r="P73">
        <v>374.13518670110199</v>
      </c>
      <c r="Q73" s="4">
        <f t="shared" si="47"/>
        <v>162.41351867011019</v>
      </c>
      <c r="R73">
        <v>456.98186319066599</v>
      </c>
      <c r="S73" s="4">
        <f t="shared" si="48"/>
        <v>170.69818631906659</v>
      </c>
      <c r="T73">
        <v>442.37204681602299</v>
      </c>
      <c r="U73" s="4">
        <f t="shared" si="49"/>
        <v>169.23720468160229</v>
      </c>
      <c r="V73">
        <v>381.828626555092</v>
      </c>
      <c r="W73" s="4">
        <f t="shared" si="50"/>
        <v>163.18286265550921</v>
      </c>
      <c r="X73">
        <v>420.23107434153798</v>
      </c>
      <c r="Y73" s="4">
        <f t="shared" si="51"/>
        <v>167.02310743415381</v>
      </c>
      <c r="Z73">
        <v>426.98385253281111</v>
      </c>
      <c r="AA73" s="4">
        <f t="shared" si="52"/>
        <v>167.69838525328112</v>
      </c>
      <c r="AB73">
        <v>406.816012326997</v>
      </c>
      <c r="AC73" s="4">
        <f t="shared" si="53"/>
        <v>165.68160123269971</v>
      </c>
      <c r="AD73">
        <v>440.18881132540099</v>
      </c>
      <c r="AE73" s="4">
        <f t="shared" si="54"/>
        <v>169.01888113254012</v>
      </c>
      <c r="AF73">
        <v>379.90778626761301</v>
      </c>
      <c r="AG73" s="4">
        <f t="shared" si="55"/>
        <v>162.99077862676131</v>
      </c>
      <c r="AH73">
        <v>290.20999212930099</v>
      </c>
      <c r="AI73" s="4">
        <f t="shared" si="56"/>
        <v>154.02099921293009</v>
      </c>
      <c r="AJ73">
        <v>457.22658446796498</v>
      </c>
      <c r="AK73" s="4">
        <f t="shared" si="57"/>
        <v>170.72265844679652</v>
      </c>
      <c r="AL73">
        <v>410.91241770040602</v>
      </c>
      <c r="AM73" s="4">
        <f t="shared" si="58"/>
        <v>166.0912417700406</v>
      </c>
      <c r="AN73">
        <v>292.339103506296</v>
      </c>
      <c r="AO73" s="4">
        <f t="shared" si="59"/>
        <v>154.2339103506296</v>
      </c>
      <c r="AP73">
        <v>425.75292321326998</v>
      </c>
      <c r="AQ73" s="4">
        <f t="shared" si="60"/>
        <v>167.575292321327</v>
      </c>
      <c r="AR73">
        <v>399.16634735618101</v>
      </c>
      <c r="AS73" s="4">
        <f t="shared" si="61"/>
        <v>164.91663473561812</v>
      </c>
      <c r="AT73">
        <v>277.707201138713</v>
      </c>
      <c r="AU73" s="4">
        <f t="shared" si="62"/>
        <v>152.77072011387131</v>
      </c>
      <c r="AV73">
        <v>269.97738193179299</v>
      </c>
      <c r="AW73" s="4">
        <f t="shared" si="63"/>
        <v>151.99773819317932</v>
      </c>
      <c r="AX73">
        <v>351.18896488917011</v>
      </c>
      <c r="AY73" s="4">
        <f t="shared" si="64"/>
        <v>160.11889648891702</v>
      </c>
      <c r="AZ73">
        <v>336.91019596703501</v>
      </c>
      <c r="BA73" s="4">
        <f t="shared" si="65"/>
        <v>158.69101959670351</v>
      </c>
      <c r="BB73">
        <v>301.37420442077899</v>
      </c>
      <c r="BC73" s="4">
        <f t="shared" si="66"/>
        <v>155.13742044207791</v>
      </c>
      <c r="BD73">
        <v>330.10287594498698</v>
      </c>
      <c r="BE73" s="4">
        <f t="shared" si="67"/>
        <v>158.01028759449869</v>
      </c>
      <c r="BF73">
        <v>269.54833177668598</v>
      </c>
      <c r="BG73" s="4">
        <f t="shared" si="68"/>
        <v>151.9548331776686</v>
      </c>
      <c r="BH73">
        <v>283.06584047292301</v>
      </c>
      <c r="BI73" s="4">
        <f t="shared" si="69"/>
        <v>153.30658404729229</v>
      </c>
      <c r="BJ73">
        <v>365.41648122837302</v>
      </c>
      <c r="BK73" s="4">
        <f t="shared" si="70"/>
        <v>161.5416481228373</v>
      </c>
      <c r="BL73">
        <v>315.95337928819703</v>
      </c>
      <c r="BM73" s="4">
        <f t="shared" si="71"/>
        <v>156.5953379288197</v>
      </c>
      <c r="BN73">
        <v>315.51908766077298</v>
      </c>
      <c r="BO73" s="4">
        <f t="shared" si="72"/>
        <v>156.5519087660773</v>
      </c>
      <c r="BP73">
        <v>281.73663118611</v>
      </c>
      <c r="BQ73" s="4">
        <f t="shared" si="73"/>
        <v>153.17366311861099</v>
      </c>
      <c r="BR73">
        <v>280.67901470821801</v>
      </c>
      <c r="BS73" s="4">
        <f t="shared" si="74"/>
        <v>153.06790147082179</v>
      </c>
      <c r="BT73">
        <v>357.17507227987397</v>
      </c>
      <c r="BU73" s="4">
        <f t="shared" si="75"/>
        <v>160.7175072279874</v>
      </c>
      <c r="BV73">
        <v>382.631443267088</v>
      </c>
      <c r="BW73" s="4">
        <f t="shared" si="76"/>
        <v>163.26314432670881</v>
      </c>
      <c r="BX73">
        <v>386.45353276167998</v>
      </c>
      <c r="BY73" s="4">
        <f t="shared" si="77"/>
        <v>163.64535327616801</v>
      </c>
      <c r="BZ73">
        <v>342.01839044681401</v>
      </c>
      <c r="CA73" s="4">
        <f t="shared" si="78"/>
        <v>159.20183904468141</v>
      </c>
      <c r="CB73">
        <v>341.47012705210602</v>
      </c>
      <c r="CC73" s="4">
        <f t="shared" si="79"/>
        <v>159.14701270521061</v>
      </c>
      <c r="CD73">
        <v>357.93563777510298</v>
      </c>
      <c r="CE73" s="4">
        <f t="shared" si="80"/>
        <v>160.79356377751031</v>
      </c>
      <c r="CF73">
        <f t="shared" si="81"/>
        <v>164.02908146248353</v>
      </c>
    </row>
    <row r="74" spans="1:84" x14ac:dyDescent="0.2">
      <c r="A74" s="2">
        <v>42076</v>
      </c>
      <c r="B74">
        <v>2020</v>
      </c>
      <c r="C74">
        <v>12</v>
      </c>
      <c r="D74">
        <v>25.173769978903</v>
      </c>
      <c r="E74" s="4">
        <f t="shared" si="41"/>
        <v>24.159820066981851</v>
      </c>
      <c r="F74">
        <v>26.851313901272</v>
      </c>
      <c r="G74" s="4">
        <f t="shared" si="42"/>
        <v>25.697725008112574</v>
      </c>
      <c r="H74">
        <v>32.903745188552001</v>
      </c>
      <c r="I74" s="4">
        <f t="shared" si="43"/>
        <v>31.171494872658947</v>
      </c>
      <c r="J74">
        <v>25.384332533748999</v>
      </c>
      <c r="K74" s="4">
        <f t="shared" si="44"/>
        <v>24.353349592654681</v>
      </c>
      <c r="L74">
        <v>36.747095869288003</v>
      </c>
      <c r="M74" s="4">
        <f t="shared" si="45"/>
        <v>34.586537381565371</v>
      </c>
      <c r="N74">
        <v>22.092266427133001</v>
      </c>
      <c r="O74" s="4">
        <f t="shared" si="46"/>
        <v>21.311357249713119</v>
      </c>
      <c r="P74">
        <v>10.755288220320001</v>
      </c>
      <c r="Q74" s="4">
        <f t="shared" si="47"/>
        <v>10.570206260796555</v>
      </c>
      <c r="R74">
        <v>19.265130234609</v>
      </c>
      <c r="S74" s="4">
        <f t="shared" si="48"/>
        <v>18.671297845878687</v>
      </c>
      <c r="T74">
        <v>17.038575172668001</v>
      </c>
      <c r="U74" s="4">
        <f t="shared" si="49"/>
        <v>16.574074302404547</v>
      </c>
      <c r="V74">
        <v>12.633694633637001</v>
      </c>
      <c r="W74" s="4">
        <f t="shared" si="50"/>
        <v>12.378318249483419</v>
      </c>
      <c r="X74">
        <v>24.733142733425002</v>
      </c>
      <c r="Y74" s="4">
        <f t="shared" si="51"/>
        <v>23.754377374269843</v>
      </c>
      <c r="Z74">
        <v>20.866879092493001</v>
      </c>
      <c r="AA74" s="4">
        <f t="shared" si="52"/>
        <v>20.170196463595847</v>
      </c>
      <c r="AB74">
        <v>13.205849084561001</v>
      </c>
      <c r="AC74" s="4">
        <f t="shared" si="53"/>
        <v>12.926817964490279</v>
      </c>
      <c r="AD74">
        <v>28.513985859093001</v>
      </c>
      <c r="AE74" s="4">
        <f t="shared" si="54"/>
        <v>27.213110035776911</v>
      </c>
      <c r="AF74">
        <v>20.376454947673999</v>
      </c>
      <c r="AG74" s="4">
        <f t="shared" si="55"/>
        <v>19.712135081698655</v>
      </c>
      <c r="AH74">
        <v>14.028109870655999</v>
      </c>
      <c r="AI74" s="4">
        <f t="shared" si="56"/>
        <v>13.713249284186887</v>
      </c>
      <c r="AJ74">
        <v>21.776938204608999</v>
      </c>
      <c r="AK74" s="4">
        <f t="shared" si="57"/>
        <v>21.018162144501225</v>
      </c>
      <c r="AL74">
        <v>18.337760967421001</v>
      </c>
      <c r="AM74" s="4">
        <f t="shared" si="58"/>
        <v>17.799723403743769</v>
      </c>
      <c r="AN74">
        <v>15.187317007849</v>
      </c>
      <c r="AO74" s="4">
        <f t="shared" si="59"/>
        <v>14.818269651213962</v>
      </c>
      <c r="AP74">
        <v>25.823019631192</v>
      </c>
      <c r="AQ74" s="4">
        <f t="shared" si="60"/>
        <v>24.756094282595317</v>
      </c>
      <c r="AR74">
        <v>15.610648883529</v>
      </c>
      <c r="AS74" s="4">
        <f t="shared" si="61"/>
        <v>15.22074110982528</v>
      </c>
      <c r="AT74">
        <v>3.3979911016869999</v>
      </c>
      <c r="AU74" s="4">
        <f t="shared" si="62"/>
        <v>3.3795169520435699</v>
      </c>
      <c r="AV74">
        <v>7.2897854725499993</v>
      </c>
      <c r="AW74" s="4">
        <f t="shared" si="63"/>
        <v>7.2047599169727183</v>
      </c>
      <c r="AX74">
        <v>7.6810038901819997</v>
      </c>
      <c r="AY74" s="4">
        <f t="shared" si="64"/>
        <v>7.5866073769644133</v>
      </c>
      <c r="AZ74">
        <v>7.2253072265499991</v>
      </c>
      <c r="BA74" s="4">
        <f t="shared" si="65"/>
        <v>7.1417791233211423</v>
      </c>
      <c r="BB74">
        <v>9.4909478330169996</v>
      </c>
      <c r="BC74" s="4">
        <f t="shared" si="66"/>
        <v>9.3468228877865194</v>
      </c>
      <c r="BD74">
        <v>10.814464469277</v>
      </c>
      <c r="BE74" s="4">
        <f t="shared" si="67"/>
        <v>10.627340242465392</v>
      </c>
      <c r="BF74">
        <v>10.326681216369</v>
      </c>
      <c r="BG74" s="4">
        <f t="shared" si="68"/>
        <v>10.156056664457786</v>
      </c>
      <c r="BH74">
        <v>8.4442684319560009</v>
      </c>
      <c r="BI74" s="4">
        <f t="shared" si="69"/>
        <v>8.3301793609945136</v>
      </c>
      <c r="BJ74">
        <v>5.9944875241790001</v>
      </c>
      <c r="BK74" s="4">
        <f t="shared" si="70"/>
        <v>5.9369933150949397</v>
      </c>
      <c r="BL74">
        <v>5.4629235458069996</v>
      </c>
      <c r="BM74" s="4">
        <f t="shared" si="71"/>
        <v>5.4151738919392676</v>
      </c>
      <c r="BN74">
        <v>8.0120408313469991</v>
      </c>
      <c r="BO74" s="4">
        <f t="shared" si="72"/>
        <v>7.9093323540939249</v>
      </c>
      <c r="BP74">
        <v>7.3850346205019992</v>
      </c>
      <c r="BQ74" s="4">
        <f t="shared" si="73"/>
        <v>7.2977726423483782</v>
      </c>
      <c r="BR74">
        <v>1.2072160219070001</v>
      </c>
      <c r="BS74" s="4">
        <f t="shared" si="74"/>
        <v>1.2048842290693218</v>
      </c>
      <c r="BT74">
        <v>11.325436898041</v>
      </c>
      <c r="BU74" s="4">
        <f t="shared" si="75"/>
        <v>11.120212064550586</v>
      </c>
      <c r="BV74">
        <v>6.6598960183209996</v>
      </c>
      <c r="BW74" s="4">
        <f t="shared" si="76"/>
        <v>6.5889292743612433</v>
      </c>
      <c r="BX74">
        <v>5.6700658002729991</v>
      </c>
      <c r="BY74" s="4">
        <f t="shared" si="77"/>
        <v>5.6186263663859188</v>
      </c>
      <c r="BZ74">
        <v>2.3870026834010001</v>
      </c>
      <c r="CA74" s="4">
        <f t="shared" si="78"/>
        <v>2.3778862325040988</v>
      </c>
      <c r="CB74">
        <v>1.835737673595</v>
      </c>
      <c r="CC74" s="4">
        <f t="shared" si="79"/>
        <v>1.8303457811049904</v>
      </c>
      <c r="CD74">
        <v>1.970684273474</v>
      </c>
      <c r="CE74" s="4">
        <f t="shared" si="80"/>
        <v>1.9644705190648515</v>
      </c>
      <c r="CF74">
        <f t="shared" si="81"/>
        <v>13.829910736389206</v>
      </c>
    </row>
    <row r="75" spans="1:84" x14ac:dyDescent="0.2">
      <c r="A75" s="2">
        <v>42077</v>
      </c>
      <c r="B75">
        <v>2021</v>
      </c>
      <c r="C75">
        <v>1</v>
      </c>
      <c r="D75">
        <v>327.83276341108501</v>
      </c>
      <c r="E75" s="4">
        <f t="shared" si="41"/>
        <v>157.78327634110849</v>
      </c>
      <c r="F75">
        <v>349.1317224078</v>
      </c>
      <c r="G75" s="4">
        <f t="shared" si="42"/>
        <v>159.91317224078</v>
      </c>
      <c r="H75">
        <v>434.30842635660002</v>
      </c>
      <c r="I75" s="4">
        <f t="shared" si="43"/>
        <v>168.43084263566001</v>
      </c>
      <c r="J75">
        <v>377.48943588809988</v>
      </c>
      <c r="K75" s="4">
        <f t="shared" si="44"/>
        <v>162.74894358880999</v>
      </c>
      <c r="L75">
        <v>432.82655716739998</v>
      </c>
      <c r="M75" s="4">
        <f t="shared" si="45"/>
        <v>168.28265571674001</v>
      </c>
      <c r="N75">
        <v>347.19014802585002</v>
      </c>
      <c r="O75" s="4">
        <f t="shared" si="46"/>
        <v>159.71901480258501</v>
      </c>
      <c r="P75">
        <v>176.58066198153</v>
      </c>
      <c r="Q75" s="4">
        <f t="shared" si="47"/>
        <v>126.69149368419343</v>
      </c>
      <c r="R75">
        <v>285.60075670768498</v>
      </c>
      <c r="S75" s="4">
        <f t="shared" si="48"/>
        <v>153.5600756707685</v>
      </c>
      <c r="T75">
        <v>241.82113165213499</v>
      </c>
      <c r="U75" s="4">
        <f t="shared" si="49"/>
        <v>148.25719611050428</v>
      </c>
      <c r="V75">
        <v>168.027195198615</v>
      </c>
      <c r="W75" s="4">
        <f t="shared" si="50"/>
        <v>122.85417387651347</v>
      </c>
      <c r="X75">
        <v>270.44401184407502</v>
      </c>
      <c r="Y75" s="4">
        <f t="shared" si="51"/>
        <v>152.04440118440749</v>
      </c>
      <c r="Z75">
        <v>159.56238652533</v>
      </c>
      <c r="AA75" s="4">
        <f t="shared" si="52"/>
        <v>118.82613821547589</v>
      </c>
      <c r="AB75">
        <v>45.160654520175001</v>
      </c>
      <c r="AC75" s="4">
        <f t="shared" si="53"/>
        <v>41.897478973470037</v>
      </c>
      <c r="AD75">
        <v>242.59565703396001</v>
      </c>
      <c r="AE75" s="4">
        <f t="shared" si="54"/>
        <v>148.43141253517797</v>
      </c>
      <c r="AF75">
        <v>110.86739456639999</v>
      </c>
      <c r="AG75" s="4">
        <f t="shared" si="55"/>
        <v>91.200867881693071</v>
      </c>
      <c r="AH75">
        <v>17.37026628564</v>
      </c>
      <c r="AI75" s="4">
        <f t="shared" si="56"/>
        <v>16.887504444305534</v>
      </c>
      <c r="AJ75">
        <v>263.073340230795</v>
      </c>
      <c r="AK75" s="4">
        <f t="shared" si="57"/>
        <v>151.30733402307951</v>
      </c>
      <c r="AL75">
        <v>191.13383117556</v>
      </c>
      <c r="AM75" s="4">
        <f t="shared" si="58"/>
        <v>132.68240490380407</v>
      </c>
      <c r="AN75">
        <v>101.97516276992999</v>
      </c>
      <c r="AO75" s="4">
        <f t="shared" si="59"/>
        <v>85.336868654804036</v>
      </c>
      <c r="AP75">
        <v>274.87594817370001</v>
      </c>
      <c r="AQ75" s="4">
        <f t="shared" si="60"/>
        <v>152.48759481737</v>
      </c>
      <c r="AR75">
        <v>217.51954366781999</v>
      </c>
      <c r="AS75" s="4">
        <f t="shared" si="61"/>
        <v>141.81594066388934</v>
      </c>
      <c r="AT75">
        <v>51.493338178320002</v>
      </c>
      <c r="AU75" s="4">
        <f t="shared" si="62"/>
        <v>47.250835975525078</v>
      </c>
      <c r="AV75">
        <v>47.452799549985002</v>
      </c>
      <c r="AW75" s="4">
        <f t="shared" si="63"/>
        <v>43.849970453775313</v>
      </c>
      <c r="AX75">
        <v>72.322137403244994</v>
      </c>
      <c r="AY75" s="4">
        <f t="shared" si="64"/>
        <v>63.95335090952684</v>
      </c>
      <c r="AZ75">
        <v>64.010733283199997</v>
      </c>
      <c r="BA75" s="4">
        <f t="shared" si="65"/>
        <v>57.454934922475246</v>
      </c>
      <c r="BB75">
        <v>111.639802339365</v>
      </c>
      <c r="BC75" s="4">
        <f t="shared" si="66"/>
        <v>91.698289593169022</v>
      </c>
      <c r="BD75">
        <v>83.162699801159988</v>
      </c>
      <c r="BE75" s="4">
        <f t="shared" si="67"/>
        <v>72.097044380011411</v>
      </c>
      <c r="BF75">
        <v>81.724835189475002</v>
      </c>
      <c r="BG75" s="4">
        <f t="shared" si="68"/>
        <v>71.038517290680048</v>
      </c>
      <c r="BH75">
        <v>54.732309317235</v>
      </c>
      <c r="BI75" s="4">
        <f t="shared" si="69"/>
        <v>49.939308224119017</v>
      </c>
      <c r="BJ75">
        <v>91.384987486829985</v>
      </c>
      <c r="BK75" s="4">
        <f t="shared" si="70"/>
        <v>78.023041986081068</v>
      </c>
      <c r="BL75">
        <v>71.754303102704995</v>
      </c>
      <c r="BM75" s="4">
        <f t="shared" si="71"/>
        <v>63.516415080697215</v>
      </c>
      <c r="BN75">
        <v>91.735585824104987</v>
      </c>
      <c r="BO75" s="4">
        <f t="shared" si="72"/>
        <v>78.270917493718215</v>
      </c>
      <c r="BP75">
        <v>96.007958780849989</v>
      </c>
      <c r="BQ75" s="4">
        <f t="shared" si="73"/>
        <v>81.259913742025347</v>
      </c>
      <c r="BR75">
        <v>51.364312654184999</v>
      </c>
      <c r="BS75" s="4">
        <f t="shared" si="74"/>
        <v>47.143044471086007</v>
      </c>
      <c r="BT75">
        <v>147.34910657862</v>
      </c>
      <c r="BU75" s="4">
        <f t="shared" si="75"/>
        <v>112.61029184339196</v>
      </c>
      <c r="BV75">
        <v>147.23990643648</v>
      </c>
      <c r="BW75" s="4">
        <f t="shared" si="76"/>
        <v>112.55256236060258</v>
      </c>
      <c r="BX75">
        <v>46.011511810065002</v>
      </c>
      <c r="BY75" s="4">
        <f t="shared" si="77"/>
        <v>42.624217059588595</v>
      </c>
      <c r="BZ75">
        <v>47.188581113085</v>
      </c>
      <c r="CA75" s="4">
        <f t="shared" si="78"/>
        <v>43.625761613139076</v>
      </c>
      <c r="CB75">
        <v>48.153290447294992</v>
      </c>
      <c r="CC75" s="4">
        <f t="shared" si="79"/>
        <v>44.443307437852503</v>
      </c>
      <c r="CD75">
        <v>68.096675254860003</v>
      </c>
      <c r="CE75" s="4">
        <f t="shared" si="80"/>
        <v>60.677223765634629</v>
      </c>
      <c r="CF75">
        <f t="shared" si="81"/>
        <v>102.46284068864766</v>
      </c>
    </row>
    <row r="76" spans="1:84" x14ac:dyDescent="0.2">
      <c r="A76" s="2">
        <v>42078</v>
      </c>
      <c r="B76">
        <v>2021</v>
      </c>
      <c r="C76">
        <v>2</v>
      </c>
      <c r="D76">
        <v>12.700013077079999</v>
      </c>
      <c r="E76" s="4">
        <f t="shared" si="41"/>
        <v>12.441948545627195</v>
      </c>
      <c r="F76">
        <v>13.978290105359999</v>
      </c>
      <c r="G76" s="4">
        <f t="shared" si="42"/>
        <v>13.66566195452863</v>
      </c>
      <c r="H76">
        <v>18.249139950048001</v>
      </c>
      <c r="I76" s="4">
        <f t="shared" si="43"/>
        <v>17.716290175781701</v>
      </c>
      <c r="J76">
        <v>14.532804452376</v>
      </c>
      <c r="K76" s="4">
        <f t="shared" si="44"/>
        <v>14.194880603974399</v>
      </c>
      <c r="L76">
        <v>19.978560652679999</v>
      </c>
      <c r="M76" s="4">
        <f t="shared" si="45"/>
        <v>19.339932035475496</v>
      </c>
      <c r="N76">
        <v>13.21888011948</v>
      </c>
      <c r="O76" s="4">
        <f t="shared" si="46"/>
        <v>12.939298052898906</v>
      </c>
      <c r="P76">
        <v>6.4425406726800007</v>
      </c>
      <c r="Q76" s="4">
        <f t="shared" si="47"/>
        <v>6.3761305441693832</v>
      </c>
      <c r="R76">
        <v>11.681998094340001</v>
      </c>
      <c r="S76" s="4">
        <f t="shared" si="48"/>
        <v>11.463647567178139</v>
      </c>
      <c r="T76">
        <v>10.737132195384</v>
      </c>
      <c r="U76" s="4">
        <f t="shared" si="49"/>
        <v>10.552674582934157</v>
      </c>
      <c r="V76">
        <v>6.15077778672</v>
      </c>
      <c r="W76" s="4">
        <f t="shared" si="50"/>
        <v>6.0902464789094264</v>
      </c>
      <c r="X76">
        <v>10.239746807555999</v>
      </c>
      <c r="Y76" s="4">
        <f t="shared" si="51"/>
        <v>10.071982944063434</v>
      </c>
      <c r="Z76">
        <v>6.8286837570839998</v>
      </c>
      <c r="AA76" s="4">
        <f t="shared" si="52"/>
        <v>6.7540742821171786</v>
      </c>
      <c r="AB76">
        <v>1.221699497004</v>
      </c>
      <c r="AC76" s="4">
        <f t="shared" si="53"/>
        <v>1.2193114175464324</v>
      </c>
      <c r="AD76">
        <v>8.0169995775240004</v>
      </c>
      <c r="AE76" s="4">
        <f t="shared" si="54"/>
        <v>7.9141639259623693</v>
      </c>
      <c r="AF76">
        <v>5.2665631835040001</v>
      </c>
      <c r="AG76" s="4">
        <f t="shared" si="55"/>
        <v>5.2221844830786566</v>
      </c>
      <c r="AH76">
        <v>0.52252939191600001</v>
      </c>
      <c r="AI76" s="4">
        <f t="shared" si="56"/>
        <v>0.52209253277133427</v>
      </c>
      <c r="AJ76">
        <v>9.7462944729360004</v>
      </c>
      <c r="AK76" s="4">
        <f t="shared" si="57"/>
        <v>9.5943100634109069</v>
      </c>
      <c r="AL76">
        <v>7.4302042928400001</v>
      </c>
      <c r="AM76" s="4">
        <f t="shared" si="58"/>
        <v>7.3418715955066594</v>
      </c>
      <c r="AN76">
        <v>4.6928466731159997</v>
      </c>
      <c r="AO76" s="4">
        <f t="shared" si="59"/>
        <v>4.6576101772801985</v>
      </c>
      <c r="AP76">
        <v>10.829325669119999</v>
      </c>
      <c r="AQ76" s="4">
        <f t="shared" si="60"/>
        <v>10.64168679800342</v>
      </c>
      <c r="AR76">
        <v>9.2864293678800003</v>
      </c>
      <c r="AS76" s="4">
        <f t="shared" si="61"/>
        <v>9.1484489352326026</v>
      </c>
      <c r="AT76">
        <v>2.9373542117640001</v>
      </c>
      <c r="AU76" s="4">
        <f t="shared" si="62"/>
        <v>2.9235493321394119</v>
      </c>
      <c r="AV76">
        <v>1.758391573932</v>
      </c>
      <c r="AW76" s="4">
        <f t="shared" si="63"/>
        <v>1.7534444684483599</v>
      </c>
      <c r="AX76">
        <v>3.06951628788</v>
      </c>
      <c r="AY76" s="4">
        <f t="shared" si="64"/>
        <v>3.0544411994935032</v>
      </c>
      <c r="AZ76">
        <v>2.1201052866839998</v>
      </c>
      <c r="BA76" s="4">
        <f t="shared" si="65"/>
        <v>2.1129135324013992</v>
      </c>
      <c r="BB76">
        <v>6.3066560669279994</v>
      </c>
      <c r="BC76" s="4">
        <f t="shared" si="66"/>
        <v>6.2430178097335673</v>
      </c>
      <c r="BD76">
        <v>5.4850977969479997</v>
      </c>
      <c r="BE76" s="4">
        <f t="shared" si="67"/>
        <v>5.4369597204006661</v>
      </c>
      <c r="BF76">
        <v>6.4508323967640004</v>
      </c>
      <c r="BG76" s="4">
        <f t="shared" si="68"/>
        <v>6.3842512149861763</v>
      </c>
      <c r="BH76">
        <v>5.6084186430720004</v>
      </c>
      <c r="BI76" s="4">
        <f t="shared" si="69"/>
        <v>5.5580916675904684</v>
      </c>
      <c r="BJ76">
        <v>4.4683501731119986</v>
      </c>
      <c r="BK76" s="4">
        <f t="shared" si="70"/>
        <v>4.4364043278807186</v>
      </c>
      <c r="BL76">
        <v>5.2493608933919997</v>
      </c>
      <c r="BM76" s="4">
        <f t="shared" si="71"/>
        <v>5.2052716297294825</v>
      </c>
      <c r="BN76">
        <v>6.6829437458280001</v>
      </c>
      <c r="BO76" s="4">
        <f t="shared" si="72"/>
        <v>6.6114849664521582</v>
      </c>
      <c r="BP76">
        <v>6.2516411362440003</v>
      </c>
      <c r="BQ76" s="4">
        <f t="shared" si="73"/>
        <v>6.1891083092097947</v>
      </c>
      <c r="BR76">
        <v>3.4213763981879999</v>
      </c>
      <c r="BS76" s="4">
        <f t="shared" si="74"/>
        <v>3.4026470918550755</v>
      </c>
      <c r="BT76">
        <v>5.9592012507719998</v>
      </c>
      <c r="BU76" s="4">
        <f t="shared" si="75"/>
        <v>5.9023819234964758</v>
      </c>
      <c r="BV76">
        <v>5.7836859393600006</v>
      </c>
      <c r="BW76" s="4">
        <f t="shared" si="76"/>
        <v>5.7301643024877604</v>
      </c>
      <c r="BX76">
        <v>2.3593036350240002</v>
      </c>
      <c r="BY76" s="4">
        <f t="shared" si="77"/>
        <v>2.3503975331964204</v>
      </c>
      <c r="BZ76">
        <v>3.1781372394240002</v>
      </c>
      <c r="CA76" s="4">
        <f t="shared" si="78"/>
        <v>3.1619763493238184</v>
      </c>
      <c r="CB76">
        <v>3.2893615208160001</v>
      </c>
      <c r="CC76" s="4">
        <f t="shared" si="79"/>
        <v>3.2720496820725997</v>
      </c>
      <c r="CD76">
        <v>5.2228440512640004</v>
      </c>
      <c r="CE76" s="4">
        <f t="shared" si="80"/>
        <v>5.1791990912898829</v>
      </c>
      <c r="CF76">
        <f t="shared" si="81"/>
        <v>7.1575233323806167</v>
      </c>
    </row>
    <row r="77" spans="1:84" x14ac:dyDescent="0.2">
      <c r="A77" s="2">
        <v>42079</v>
      </c>
      <c r="B77">
        <v>2021</v>
      </c>
      <c r="C77">
        <v>3</v>
      </c>
      <c r="D77">
        <v>4.8844486998000001</v>
      </c>
      <c r="E77" s="4">
        <f t="shared" si="41"/>
        <v>4.8462761572384352</v>
      </c>
      <c r="F77">
        <v>4.9284883404000004</v>
      </c>
      <c r="G77" s="4">
        <f t="shared" si="42"/>
        <v>4.8896243446856671</v>
      </c>
      <c r="H77">
        <v>5.4479197034999993</v>
      </c>
      <c r="I77" s="4">
        <f t="shared" si="43"/>
        <v>5.4004319769467459</v>
      </c>
      <c r="J77">
        <v>4.8630421396800001</v>
      </c>
      <c r="K77" s="4">
        <f t="shared" si="44"/>
        <v>4.8252034535163144</v>
      </c>
      <c r="L77">
        <v>5.8388935085999991</v>
      </c>
      <c r="M77" s="4">
        <f t="shared" si="45"/>
        <v>5.7843452247523652</v>
      </c>
      <c r="N77">
        <v>5.1814235690999997</v>
      </c>
      <c r="O77" s="4">
        <f t="shared" si="46"/>
        <v>5.1384681287761191</v>
      </c>
      <c r="P77">
        <v>2.9408597082000001</v>
      </c>
      <c r="Q77" s="4">
        <f t="shared" si="47"/>
        <v>2.9270218588826973</v>
      </c>
      <c r="R77">
        <v>4.5342550277999996</v>
      </c>
      <c r="S77" s="4">
        <f t="shared" si="48"/>
        <v>4.5013598779485919</v>
      </c>
      <c r="T77">
        <v>3.8116239741000002</v>
      </c>
      <c r="U77" s="4">
        <f t="shared" si="49"/>
        <v>3.788378410388106</v>
      </c>
      <c r="V77">
        <v>3.3621033383999999</v>
      </c>
      <c r="W77" s="4">
        <f t="shared" si="50"/>
        <v>3.344017356227071</v>
      </c>
      <c r="X77">
        <v>4.4322328090800003</v>
      </c>
      <c r="Y77" s="4">
        <f t="shared" si="51"/>
        <v>4.4008013088017846</v>
      </c>
      <c r="Z77">
        <v>3.1421629718999999</v>
      </c>
      <c r="AA77" s="4">
        <f t="shared" si="52"/>
        <v>3.1263658708728328</v>
      </c>
      <c r="AB77">
        <v>1.9307960132399999</v>
      </c>
      <c r="AC77" s="4">
        <f t="shared" si="53"/>
        <v>1.9248312560484102</v>
      </c>
      <c r="AD77">
        <v>3.8852119439999999</v>
      </c>
      <c r="AE77" s="4">
        <f t="shared" si="54"/>
        <v>3.8610601490403198</v>
      </c>
      <c r="AF77">
        <v>2.91971046942</v>
      </c>
      <c r="AG77" s="4">
        <f t="shared" si="55"/>
        <v>2.9060709346596143</v>
      </c>
      <c r="AH77">
        <v>1.58160022974</v>
      </c>
      <c r="AI77" s="4">
        <f t="shared" si="56"/>
        <v>1.5775978948812583</v>
      </c>
      <c r="AJ77">
        <v>4.3675108051499993</v>
      </c>
      <c r="AK77" s="4">
        <f t="shared" si="57"/>
        <v>4.3369905641370359</v>
      </c>
      <c r="AL77">
        <v>3.46714362189</v>
      </c>
      <c r="AM77" s="4">
        <f t="shared" si="58"/>
        <v>3.4479098860583002</v>
      </c>
      <c r="AN77">
        <v>2.57578355304</v>
      </c>
      <c r="AO77" s="4">
        <f t="shared" si="59"/>
        <v>2.565168095580622</v>
      </c>
      <c r="AP77">
        <v>4.8761659530000001</v>
      </c>
      <c r="AQ77" s="4">
        <f t="shared" si="60"/>
        <v>4.8381227619580862</v>
      </c>
      <c r="AR77">
        <v>4.7044208910599998</v>
      </c>
      <c r="AS77" s="4">
        <f t="shared" si="61"/>
        <v>4.6690103695876131</v>
      </c>
      <c r="AT77">
        <v>2.2291344303299998</v>
      </c>
      <c r="AU77" s="4">
        <f t="shared" si="62"/>
        <v>2.2211839658364276</v>
      </c>
      <c r="AV77">
        <v>2.0522185420499999</v>
      </c>
      <c r="AW77" s="4">
        <f t="shared" si="63"/>
        <v>2.0454799805390658</v>
      </c>
      <c r="AX77">
        <v>2.48718439611</v>
      </c>
      <c r="AY77" s="4">
        <f t="shared" si="64"/>
        <v>2.4772866581575954</v>
      </c>
      <c r="AZ77">
        <v>2.4455998565099999</v>
      </c>
      <c r="BA77" s="4">
        <f t="shared" si="65"/>
        <v>2.4360303226569413</v>
      </c>
      <c r="BB77">
        <v>2.8535186574</v>
      </c>
      <c r="BC77" s="4">
        <f t="shared" si="66"/>
        <v>2.840490547434992</v>
      </c>
      <c r="BD77">
        <v>2.75882513607</v>
      </c>
      <c r="BE77" s="4">
        <f t="shared" si="67"/>
        <v>2.7466473502597415</v>
      </c>
      <c r="BF77">
        <v>3.0046240998</v>
      </c>
      <c r="BG77" s="4">
        <f t="shared" si="68"/>
        <v>2.9901796742302418</v>
      </c>
      <c r="BH77">
        <v>2.3173415566200002</v>
      </c>
      <c r="BI77" s="4">
        <f t="shared" si="69"/>
        <v>2.3087494415959395</v>
      </c>
      <c r="BJ77">
        <v>2.9369463436799998</v>
      </c>
      <c r="BK77" s="4">
        <f t="shared" si="70"/>
        <v>2.9231452975589516</v>
      </c>
      <c r="BL77">
        <v>2.5811418344399999</v>
      </c>
      <c r="BM77" s="4">
        <f t="shared" si="71"/>
        <v>2.5704821653688059</v>
      </c>
      <c r="BN77">
        <v>2.85487701444</v>
      </c>
      <c r="BO77" s="4">
        <f t="shared" si="72"/>
        <v>2.8418364980118755</v>
      </c>
      <c r="BP77">
        <v>2.6024870681999999</v>
      </c>
      <c r="BQ77" s="4">
        <f t="shared" si="73"/>
        <v>2.5916503658957626</v>
      </c>
      <c r="BR77">
        <v>2.2133501243999998</v>
      </c>
      <c r="BS77" s="4">
        <f t="shared" si="74"/>
        <v>2.2055118543629093</v>
      </c>
      <c r="BT77">
        <v>2.98934486388</v>
      </c>
      <c r="BU77" s="4">
        <f t="shared" si="75"/>
        <v>2.9750469715356709</v>
      </c>
      <c r="BV77">
        <v>3.1219865370000002</v>
      </c>
      <c r="BW77" s="4">
        <f t="shared" si="76"/>
        <v>3.1063916571004651</v>
      </c>
      <c r="BX77">
        <v>2.1904763854499998</v>
      </c>
      <c r="BY77" s="4">
        <f t="shared" si="77"/>
        <v>2.1827992865776573</v>
      </c>
      <c r="BZ77">
        <v>2.4772231973699999</v>
      </c>
      <c r="CA77" s="4">
        <f t="shared" si="78"/>
        <v>2.4674045817386592</v>
      </c>
      <c r="CB77">
        <v>2.7102358244700002</v>
      </c>
      <c r="CC77" s="4">
        <f t="shared" si="79"/>
        <v>2.6984832193112154</v>
      </c>
      <c r="CD77">
        <v>3.1515652081800001</v>
      </c>
      <c r="CE77" s="4">
        <f t="shared" si="80"/>
        <v>3.135673426961743</v>
      </c>
      <c r="CF77">
        <f t="shared" si="81"/>
        <v>3.3402835924512844</v>
      </c>
    </row>
    <row r="78" spans="1:84" x14ac:dyDescent="0.2">
      <c r="A78" s="2">
        <v>42080</v>
      </c>
      <c r="B78">
        <v>2021</v>
      </c>
      <c r="C78">
        <v>4</v>
      </c>
      <c r="D78">
        <v>9.057689136046001</v>
      </c>
      <c r="E78" s="4">
        <f t="shared" si="41"/>
        <v>8.926422364069607</v>
      </c>
      <c r="F78">
        <v>11.383131251471999</v>
      </c>
      <c r="G78" s="4">
        <f t="shared" si="42"/>
        <v>11.175810168130818</v>
      </c>
      <c r="H78">
        <v>13.477780773366</v>
      </c>
      <c r="I78" s="4">
        <f t="shared" si="43"/>
        <v>13.187139854046137</v>
      </c>
      <c r="J78">
        <v>6.9858208070959993</v>
      </c>
      <c r="K78" s="4">
        <f t="shared" si="44"/>
        <v>6.9077380993378314</v>
      </c>
      <c r="L78">
        <v>8.9936925571560007</v>
      </c>
      <c r="M78" s="4">
        <f t="shared" si="45"/>
        <v>8.8642741478557703</v>
      </c>
      <c r="N78">
        <v>7.6418276411299999</v>
      </c>
      <c r="O78" s="4">
        <f t="shared" si="46"/>
        <v>7.5483915936152179</v>
      </c>
      <c r="P78">
        <v>6.2863860291840004</v>
      </c>
      <c r="Q78" s="4">
        <f t="shared" si="47"/>
        <v>6.2231561902913288</v>
      </c>
      <c r="R78">
        <v>5.8545060196919998</v>
      </c>
      <c r="S78" s="4">
        <f t="shared" si="48"/>
        <v>5.7996656345166242</v>
      </c>
      <c r="T78">
        <v>6.5780097027300002</v>
      </c>
      <c r="U78" s="4">
        <f t="shared" si="49"/>
        <v>6.5087773640912641</v>
      </c>
      <c r="V78">
        <v>6.1756909318039996</v>
      </c>
      <c r="W78" s="4">
        <f t="shared" si="50"/>
        <v>6.1146682782277342</v>
      </c>
      <c r="X78">
        <v>5.413313715388</v>
      </c>
      <c r="Y78" s="4">
        <f t="shared" si="51"/>
        <v>5.3664273707780676</v>
      </c>
      <c r="Z78">
        <v>5.1478379133460006</v>
      </c>
      <c r="AA78" s="4">
        <f t="shared" si="52"/>
        <v>5.1054375370546685</v>
      </c>
      <c r="AB78">
        <v>3.6333771810340001</v>
      </c>
      <c r="AC78" s="4">
        <f t="shared" si="53"/>
        <v>3.6122548934505461</v>
      </c>
      <c r="AD78">
        <v>6.4985134634500001</v>
      </c>
      <c r="AE78" s="4">
        <f t="shared" si="54"/>
        <v>6.4309443798745738</v>
      </c>
      <c r="AF78">
        <v>5.0413378139259999</v>
      </c>
      <c r="AG78" s="4">
        <f t="shared" si="55"/>
        <v>5.0006736747994074</v>
      </c>
      <c r="AH78">
        <v>3.8199526387180009</v>
      </c>
      <c r="AI78" s="4">
        <f t="shared" si="56"/>
        <v>3.7966053776587234</v>
      </c>
      <c r="AJ78">
        <v>8.398646269983999</v>
      </c>
      <c r="AK78" s="4">
        <f t="shared" si="57"/>
        <v>8.2857866553146948</v>
      </c>
      <c r="AL78">
        <v>7.2849649753799994</v>
      </c>
      <c r="AM78" s="4">
        <f t="shared" si="58"/>
        <v>7.2000518318719777</v>
      </c>
      <c r="AN78">
        <v>6.2306533603599998</v>
      </c>
      <c r="AO78" s="4">
        <f t="shared" si="59"/>
        <v>6.1685396942848554</v>
      </c>
      <c r="AP78">
        <v>10.271766917436</v>
      </c>
      <c r="AQ78" s="4">
        <f t="shared" si="60"/>
        <v>10.102952204466188</v>
      </c>
      <c r="AR78">
        <v>9.3025755942020005</v>
      </c>
      <c r="AS78" s="4">
        <f t="shared" si="61"/>
        <v>9.1641149339046528</v>
      </c>
      <c r="AT78">
        <v>7.2705459191280006</v>
      </c>
      <c r="AU78" s="4">
        <f t="shared" si="62"/>
        <v>7.1859685783885627</v>
      </c>
      <c r="AV78">
        <v>5.0356296472880002</v>
      </c>
      <c r="AW78" s="4">
        <f t="shared" si="63"/>
        <v>4.9950575417765668</v>
      </c>
      <c r="AX78">
        <v>6.5339270007000003</v>
      </c>
      <c r="AY78" s="4">
        <f t="shared" si="64"/>
        <v>6.4656194774192377</v>
      </c>
      <c r="AZ78">
        <v>6.9383422370800014</v>
      </c>
      <c r="BA78" s="4">
        <f t="shared" si="65"/>
        <v>6.8613172882818434</v>
      </c>
      <c r="BB78">
        <v>7.1050041829020003</v>
      </c>
      <c r="BC78" s="4">
        <f t="shared" si="66"/>
        <v>7.024234447799512</v>
      </c>
      <c r="BD78">
        <v>7.0678977988979996</v>
      </c>
      <c r="BE78" s="4">
        <f t="shared" si="67"/>
        <v>6.9879695120249314</v>
      </c>
      <c r="BF78">
        <v>6.7753587251000003</v>
      </c>
      <c r="BG78" s="4">
        <f t="shared" si="68"/>
        <v>6.701909947733939</v>
      </c>
      <c r="BH78">
        <v>6.3298859178000004</v>
      </c>
      <c r="BI78" s="4">
        <f t="shared" si="69"/>
        <v>6.265777988628221</v>
      </c>
      <c r="BJ78">
        <v>6.2184991233020002</v>
      </c>
      <c r="BK78" s="4">
        <f t="shared" si="70"/>
        <v>6.1566275531475876</v>
      </c>
      <c r="BL78">
        <v>6.5579417659800008</v>
      </c>
      <c r="BM78" s="4">
        <f t="shared" si="71"/>
        <v>6.4891312056504251</v>
      </c>
      <c r="BN78">
        <v>7.5484924950599996</v>
      </c>
      <c r="BO78" s="4">
        <f t="shared" si="72"/>
        <v>7.4573249127432364</v>
      </c>
      <c r="BP78">
        <v>7.7407830833000002</v>
      </c>
      <c r="BQ78" s="4">
        <f t="shared" si="73"/>
        <v>7.6449115269116747</v>
      </c>
      <c r="BR78">
        <v>6.457963855700001</v>
      </c>
      <c r="BS78" s="4">
        <f t="shared" si="74"/>
        <v>6.3912353802415565</v>
      </c>
      <c r="BT78">
        <v>5.9150858982779999</v>
      </c>
      <c r="BU78" s="4">
        <f t="shared" si="75"/>
        <v>5.8591047123835889</v>
      </c>
      <c r="BV78">
        <v>6.4801325616800014</v>
      </c>
      <c r="BW78" s="4">
        <f t="shared" si="76"/>
        <v>6.4129451728528881</v>
      </c>
      <c r="BX78">
        <v>4.8040393731060007</v>
      </c>
      <c r="BY78" s="4">
        <f t="shared" si="77"/>
        <v>4.7671133022286369</v>
      </c>
      <c r="BZ78">
        <v>5.527609669676</v>
      </c>
      <c r="CA78" s="4">
        <f t="shared" si="78"/>
        <v>5.4787225198195273</v>
      </c>
      <c r="CB78">
        <v>6.9263623496860003</v>
      </c>
      <c r="CC78" s="4">
        <f t="shared" si="79"/>
        <v>6.8496031570473637</v>
      </c>
      <c r="CD78">
        <v>7.6154329352200003</v>
      </c>
      <c r="CE78" s="4">
        <f t="shared" si="80"/>
        <v>7.5226412251546666</v>
      </c>
      <c r="CF78">
        <f t="shared" si="81"/>
        <v>6.8340445124448221</v>
      </c>
    </row>
    <row r="79" spans="1:84" x14ac:dyDescent="0.2">
      <c r="A79" s="2">
        <v>42081</v>
      </c>
      <c r="B79">
        <v>2021</v>
      </c>
      <c r="C79">
        <v>5</v>
      </c>
      <c r="D79">
        <v>22.728647006439999</v>
      </c>
      <c r="E79" s="4">
        <f t="shared" si="41"/>
        <v>21.902100774850634</v>
      </c>
      <c r="F79">
        <v>25.967160852399999</v>
      </c>
      <c r="G79" s="4">
        <f t="shared" si="42"/>
        <v>24.888291344024935</v>
      </c>
      <c r="H79">
        <v>31.915154564000002</v>
      </c>
      <c r="I79" s="4">
        <f t="shared" si="43"/>
        <v>30.285431218649588</v>
      </c>
      <c r="J79">
        <v>21.402679565730001</v>
      </c>
      <c r="K79" s="4">
        <f t="shared" si="44"/>
        <v>20.669760057580692</v>
      </c>
      <c r="L79">
        <v>19.39696162632</v>
      </c>
      <c r="M79" s="4">
        <f t="shared" si="45"/>
        <v>18.794974233787311</v>
      </c>
      <c r="N79">
        <v>22.268401717810001</v>
      </c>
      <c r="O79" s="4">
        <f t="shared" si="46"/>
        <v>21.474990973704777</v>
      </c>
      <c r="P79">
        <v>26.579136999565002</v>
      </c>
      <c r="Q79" s="4">
        <f t="shared" si="47"/>
        <v>25.448816161738367</v>
      </c>
      <c r="R79">
        <v>22.48187991436</v>
      </c>
      <c r="S79" s="4">
        <f t="shared" si="48"/>
        <v>21.673184035186075</v>
      </c>
      <c r="T79">
        <v>20.822422945275001</v>
      </c>
      <c r="U79" s="4">
        <f t="shared" si="49"/>
        <v>20.128705669575936</v>
      </c>
      <c r="V79">
        <v>24.13996732735</v>
      </c>
      <c r="W79" s="4">
        <f t="shared" si="50"/>
        <v>23.207586491245159</v>
      </c>
      <c r="X79">
        <v>23.050740212394999</v>
      </c>
      <c r="Y79" s="4">
        <f t="shared" si="51"/>
        <v>22.200601613452079</v>
      </c>
      <c r="Z79">
        <v>20.228973055090002</v>
      </c>
      <c r="AA79" s="4">
        <f t="shared" si="52"/>
        <v>19.574234893708311</v>
      </c>
      <c r="AB79">
        <v>22.974520247400001</v>
      </c>
      <c r="AC79" s="4">
        <f t="shared" si="53"/>
        <v>22.129994518442896</v>
      </c>
      <c r="AD79">
        <v>21.800065363329999</v>
      </c>
      <c r="AE79" s="4">
        <f t="shared" si="54"/>
        <v>21.039676803577262</v>
      </c>
      <c r="AF79">
        <v>24.50782830763</v>
      </c>
      <c r="AG79" s="4">
        <f t="shared" si="55"/>
        <v>23.546814470259967</v>
      </c>
      <c r="AH79">
        <v>26.931919665464999</v>
      </c>
      <c r="AI79" s="4">
        <f t="shared" si="56"/>
        <v>25.771394390477703</v>
      </c>
      <c r="AJ79">
        <v>24.167578869625</v>
      </c>
      <c r="AK79" s="4">
        <f t="shared" si="57"/>
        <v>23.233063880153729</v>
      </c>
      <c r="AL79">
        <v>29.629064271480001</v>
      </c>
      <c r="AM79" s="4">
        <f t="shared" si="58"/>
        <v>28.224453952114413</v>
      </c>
      <c r="AN79">
        <v>34.534354659479988</v>
      </c>
      <c r="AO79" s="4">
        <f t="shared" si="59"/>
        <v>32.626160016685191</v>
      </c>
      <c r="AP79">
        <v>32.404739876219999</v>
      </c>
      <c r="AQ79" s="4">
        <f t="shared" si="60"/>
        <v>30.72463240990723</v>
      </c>
      <c r="AR79">
        <v>35.336394935130002</v>
      </c>
      <c r="AS79" s="4">
        <f t="shared" si="61"/>
        <v>33.338537643911629</v>
      </c>
      <c r="AT79">
        <v>40.897065705759999</v>
      </c>
      <c r="AU79" s="4">
        <f t="shared" si="62"/>
        <v>38.220953732413996</v>
      </c>
      <c r="AV79">
        <v>35.244219695245</v>
      </c>
      <c r="AW79" s="4">
        <f t="shared" si="63"/>
        <v>33.256771660162286</v>
      </c>
      <c r="AX79">
        <v>36.786259898689998</v>
      </c>
      <c r="AY79" s="4">
        <f t="shared" si="64"/>
        <v>34.621093630955649</v>
      </c>
      <c r="AZ79">
        <v>36.761039881229998</v>
      </c>
      <c r="BA79" s="4">
        <f t="shared" si="65"/>
        <v>34.598841396190984</v>
      </c>
      <c r="BB79">
        <v>28.515382854155</v>
      </c>
      <c r="BC79" s="4">
        <f t="shared" si="66"/>
        <v>27.214379559244541</v>
      </c>
      <c r="BD79">
        <v>33.208415898759988</v>
      </c>
      <c r="BE79" s="4">
        <f t="shared" si="67"/>
        <v>31.443937680351965</v>
      </c>
      <c r="BF79">
        <v>32.02195321688</v>
      </c>
      <c r="BG79" s="4">
        <f t="shared" si="68"/>
        <v>30.381304436361514</v>
      </c>
      <c r="BH79">
        <v>36.463981912100003</v>
      </c>
      <c r="BI79" s="4">
        <f t="shared" si="69"/>
        <v>34.336586749082478</v>
      </c>
      <c r="BJ79">
        <v>36.616628590799998</v>
      </c>
      <c r="BK79" s="4">
        <f t="shared" si="70"/>
        <v>34.471384607829449</v>
      </c>
      <c r="BL79">
        <v>37.158516332120001</v>
      </c>
      <c r="BM79" s="4">
        <f t="shared" si="71"/>
        <v>34.949307794512919</v>
      </c>
      <c r="BN79">
        <v>40.386440963559998</v>
      </c>
      <c r="BO79" s="4">
        <f t="shared" si="72"/>
        <v>37.776737581635011</v>
      </c>
      <c r="BP79">
        <v>39.864216389545</v>
      </c>
      <c r="BQ79" s="4">
        <f t="shared" si="73"/>
        <v>37.32156719218105</v>
      </c>
      <c r="BR79">
        <v>38.032293939410003</v>
      </c>
      <c r="BS79" s="4">
        <f t="shared" si="74"/>
        <v>35.71796532774011</v>
      </c>
      <c r="BT79">
        <v>28.746478437084999</v>
      </c>
      <c r="BU79" s="4">
        <f t="shared" si="75"/>
        <v>27.424302401030932</v>
      </c>
      <c r="BV79">
        <v>31.333925238700001</v>
      </c>
      <c r="BW79" s="4">
        <f t="shared" si="76"/>
        <v>29.763021445316895</v>
      </c>
      <c r="BX79">
        <v>30.830053697610001</v>
      </c>
      <c r="BY79" s="4">
        <f t="shared" si="77"/>
        <v>29.309266160013976</v>
      </c>
      <c r="BZ79">
        <v>37.658344179889987</v>
      </c>
      <c r="CA79" s="4">
        <f t="shared" si="78"/>
        <v>35.3893027616963</v>
      </c>
      <c r="CB79">
        <v>41.137933430985001</v>
      </c>
      <c r="CC79" s="4">
        <f t="shared" si="79"/>
        <v>38.430206123829556</v>
      </c>
      <c r="CD79">
        <v>39.948617386919999</v>
      </c>
      <c r="CE79" s="4">
        <f t="shared" si="80"/>
        <v>37.395190137117552</v>
      </c>
      <c r="CF79">
        <f t="shared" si="81"/>
        <v>28.572083955419664</v>
      </c>
    </row>
    <row r="80" spans="1:84" x14ac:dyDescent="0.2">
      <c r="A80" s="2">
        <v>42082</v>
      </c>
      <c r="B80">
        <v>2021</v>
      </c>
      <c r="C80">
        <v>6</v>
      </c>
      <c r="D80">
        <v>220.82699330409901</v>
      </c>
      <c r="E80" s="4">
        <f t="shared" si="41"/>
        <v>142.80369574933329</v>
      </c>
      <c r="F80">
        <v>193.51897147362001</v>
      </c>
      <c r="G80" s="4">
        <f t="shared" si="42"/>
        <v>133.5996237612876</v>
      </c>
      <c r="H80">
        <v>203.17823422271701</v>
      </c>
      <c r="I80" s="4">
        <f t="shared" si="43"/>
        <v>137.12800244373901</v>
      </c>
      <c r="J80">
        <v>226.96000888824901</v>
      </c>
      <c r="K80" s="4">
        <f t="shared" si="44"/>
        <v>144.54265587296248</v>
      </c>
      <c r="L80">
        <v>220.70393643004201</v>
      </c>
      <c r="M80" s="4">
        <f t="shared" si="45"/>
        <v>142.76757234089635</v>
      </c>
      <c r="N80">
        <v>227.58024028677599</v>
      </c>
      <c r="O80" s="4">
        <f t="shared" si="46"/>
        <v>144.71181505639728</v>
      </c>
      <c r="P80">
        <v>199.63612071721499</v>
      </c>
      <c r="Q80" s="4">
        <f t="shared" si="47"/>
        <v>135.86879160518549</v>
      </c>
      <c r="R80">
        <v>213.43681294969801</v>
      </c>
      <c r="S80" s="4">
        <f t="shared" si="48"/>
        <v>140.54837595429902</v>
      </c>
      <c r="T80">
        <v>209.20425641313901</v>
      </c>
      <c r="U80" s="4">
        <f t="shared" si="49"/>
        <v>139.17798297093995</v>
      </c>
      <c r="V80">
        <v>216.76755121491601</v>
      </c>
      <c r="W80" s="4">
        <f t="shared" si="50"/>
        <v>141.58647719937801</v>
      </c>
      <c r="X80">
        <v>219.97889451583501</v>
      </c>
      <c r="Y80" s="4">
        <f t="shared" si="51"/>
        <v>142.55375206398082</v>
      </c>
      <c r="Z80">
        <v>227.46460877614501</v>
      </c>
      <c r="AA80" s="4">
        <f t="shared" si="52"/>
        <v>144.68037158304946</v>
      </c>
      <c r="AB80">
        <v>222.61216388400601</v>
      </c>
      <c r="AC80" s="4">
        <f t="shared" si="53"/>
        <v>143.32228306941474</v>
      </c>
      <c r="AD80">
        <v>215.620878012384</v>
      </c>
      <c r="AE80" s="4">
        <f t="shared" si="54"/>
        <v>141.23309715665377</v>
      </c>
      <c r="AF80">
        <v>204.37167456029999</v>
      </c>
      <c r="AG80" s="4">
        <f t="shared" si="55"/>
        <v>137.54322438017013</v>
      </c>
      <c r="AH80">
        <v>218.919078203358</v>
      </c>
      <c r="AI80" s="4">
        <f t="shared" si="56"/>
        <v>142.23817772110522</v>
      </c>
      <c r="AJ80">
        <v>192.25332925585801</v>
      </c>
      <c r="AK80" s="4">
        <f t="shared" si="57"/>
        <v>133.11518107991984</v>
      </c>
      <c r="AL80">
        <v>194.70755744953499</v>
      </c>
      <c r="AM80" s="4">
        <f t="shared" si="58"/>
        <v>134.04990476479264</v>
      </c>
      <c r="AN80">
        <v>209.34006507242401</v>
      </c>
      <c r="AO80" s="4">
        <f t="shared" si="59"/>
        <v>139.22284452118126</v>
      </c>
      <c r="AP80">
        <v>198.37868175387601</v>
      </c>
      <c r="AQ80" s="4">
        <f t="shared" si="60"/>
        <v>135.41211955482703</v>
      </c>
      <c r="AR80">
        <v>195.36935789018699</v>
      </c>
      <c r="AS80" s="4">
        <f t="shared" si="61"/>
        <v>134.29866028630863</v>
      </c>
      <c r="AT80">
        <v>240.82171659507</v>
      </c>
      <c r="AU80" s="4">
        <f t="shared" si="62"/>
        <v>148.02955790099605</v>
      </c>
      <c r="AV80">
        <v>241.501946479053</v>
      </c>
      <c r="AW80" s="4">
        <f t="shared" si="63"/>
        <v>148.1848422339788</v>
      </c>
      <c r="AX80">
        <v>217.76403528047999</v>
      </c>
      <c r="AY80" s="4">
        <f t="shared" si="64"/>
        <v>141.89015518185897</v>
      </c>
      <c r="AZ80">
        <v>227.07991854034501</v>
      </c>
      <c r="BA80" s="4">
        <f t="shared" si="65"/>
        <v>144.57545549348146</v>
      </c>
      <c r="BB80">
        <v>241.97983179048899</v>
      </c>
      <c r="BC80" s="4">
        <f t="shared" si="66"/>
        <v>148.2930494011236</v>
      </c>
      <c r="BD80">
        <v>239.34770088005399</v>
      </c>
      <c r="BE80" s="4">
        <f t="shared" si="67"/>
        <v>147.68798581354551</v>
      </c>
      <c r="BF80">
        <v>268.070894507481</v>
      </c>
      <c r="BG80" s="4">
        <f t="shared" si="68"/>
        <v>151.80708945074809</v>
      </c>
      <c r="BH80">
        <v>274.77565827168598</v>
      </c>
      <c r="BI80" s="4">
        <f t="shared" si="69"/>
        <v>152.4775658271686</v>
      </c>
      <c r="BJ80">
        <v>247.296230484186</v>
      </c>
      <c r="BK80" s="4">
        <f t="shared" si="70"/>
        <v>149.44754950548574</v>
      </c>
      <c r="BL80">
        <v>287.39695825499098</v>
      </c>
      <c r="BM80" s="4">
        <f t="shared" si="71"/>
        <v>153.7396958254991</v>
      </c>
      <c r="BN80">
        <v>274.73654731224002</v>
      </c>
      <c r="BO80" s="4">
        <f t="shared" si="72"/>
        <v>152.473654731224</v>
      </c>
      <c r="BP80">
        <v>280.82983688849703</v>
      </c>
      <c r="BQ80" s="4">
        <f t="shared" si="73"/>
        <v>153.08298368884971</v>
      </c>
      <c r="BR80">
        <v>270.13586740643098</v>
      </c>
      <c r="BS80" s="4">
        <f t="shared" si="74"/>
        <v>152.01358674064309</v>
      </c>
      <c r="BT80">
        <v>220.047943337118</v>
      </c>
      <c r="BU80" s="4">
        <f t="shared" si="75"/>
        <v>142.57418755008521</v>
      </c>
      <c r="BV80">
        <v>237.617016990249</v>
      </c>
      <c r="BW80" s="4">
        <f t="shared" si="76"/>
        <v>147.27806216889815</v>
      </c>
      <c r="BX80">
        <v>236.47797180462001</v>
      </c>
      <c r="BY80" s="4">
        <f t="shared" si="77"/>
        <v>147.00304196649734</v>
      </c>
      <c r="BZ80">
        <v>243.79819378164899</v>
      </c>
      <c r="CA80" s="4">
        <f t="shared" si="78"/>
        <v>148.69809891573786</v>
      </c>
      <c r="CB80">
        <v>253.59372239880901</v>
      </c>
      <c r="CC80" s="4">
        <f t="shared" si="79"/>
        <v>150.35937223988091</v>
      </c>
      <c r="CD80">
        <v>249.332813021916</v>
      </c>
      <c r="CE80" s="4">
        <f t="shared" si="80"/>
        <v>149.86585038284122</v>
      </c>
      <c r="CF80">
        <f t="shared" si="81"/>
        <v>143.72151337413931</v>
      </c>
    </row>
    <row r="81" spans="1:84" x14ac:dyDescent="0.2">
      <c r="A81" s="2">
        <v>42083</v>
      </c>
      <c r="B81">
        <v>2021</v>
      </c>
      <c r="C81">
        <v>7</v>
      </c>
      <c r="D81">
        <v>375.78486962562999</v>
      </c>
      <c r="E81" s="4">
        <f t="shared" si="41"/>
        <v>162.57848696256301</v>
      </c>
      <c r="F81">
        <v>369.02151667781999</v>
      </c>
      <c r="G81" s="4">
        <f t="shared" si="42"/>
        <v>161.90215166778199</v>
      </c>
      <c r="H81">
        <v>350.27447291454502</v>
      </c>
      <c r="I81" s="4">
        <f t="shared" si="43"/>
        <v>160.02744729145451</v>
      </c>
      <c r="J81">
        <v>404.79299009175003</v>
      </c>
      <c r="K81" s="4">
        <f t="shared" si="44"/>
        <v>165.47929900917501</v>
      </c>
      <c r="L81">
        <v>380.46332153529499</v>
      </c>
      <c r="M81" s="4">
        <f t="shared" si="45"/>
        <v>163.04633215352951</v>
      </c>
      <c r="N81">
        <v>368.38139513737502</v>
      </c>
      <c r="O81" s="4">
        <f t="shared" si="46"/>
        <v>161.8381395137375</v>
      </c>
      <c r="P81">
        <v>418.19098658588001</v>
      </c>
      <c r="Q81" s="4">
        <f t="shared" si="47"/>
        <v>166.81909865858802</v>
      </c>
      <c r="R81">
        <v>385.61578379136489</v>
      </c>
      <c r="S81" s="4">
        <f t="shared" si="48"/>
        <v>163.56157837913651</v>
      </c>
      <c r="T81">
        <v>350.12496099747</v>
      </c>
      <c r="U81" s="4">
        <f t="shared" si="49"/>
        <v>160.01249609974701</v>
      </c>
      <c r="V81">
        <v>376.40867561506002</v>
      </c>
      <c r="W81" s="4">
        <f t="shared" si="50"/>
        <v>162.64086756150601</v>
      </c>
      <c r="X81">
        <v>369.811492150905</v>
      </c>
      <c r="Y81" s="4">
        <f t="shared" si="51"/>
        <v>161.98114921509051</v>
      </c>
      <c r="Z81">
        <v>303.89925822382003</v>
      </c>
      <c r="AA81" s="4">
        <f t="shared" si="52"/>
        <v>155.389925822382</v>
      </c>
      <c r="AB81">
        <v>299.17325217989003</v>
      </c>
      <c r="AC81" s="4">
        <f t="shared" si="53"/>
        <v>154.917325217989</v>
      </c>
      <c r="AD81">
        <v>366.52365238905003</v>
      </c>
      <c r="AE81" s="4">
        <f t="shared" si="54"/>
        <v>161.65236523890502</v>
      </c>
      <c r="AF81">
        <v>299.05506592799998</v>
      </c>
      <c r="AG81" s="4">
        <f t="shared" si="55"/>
        <v>154.90550659280001</v>
      </c>
      <c r="AH81">
        <v>301.25718244708497</v>
      </c>
      <c r="AI81" s="4">
        <f t="shared" si="56"/>
        <v>155.12571824470851</v>
      </c>
      <c r="AJ81">
        <v>362.62218856234989</v>
      </c>
      <c r="AK81" s="4">
        <f t="shared" si="57"/>
        <v>161.26221885623499</v>
      </c>
      <c r="AL81">
        <v>320.97374009294998</v>
      </c>
      <c r="AM81" s="4">
        <f t="shared" si="58"/>
        <v>157.09737400929501</v>
      </c>
      <c r="AN81">
        <v>340.48800235407498</v>
      </c>
      <c r="AO81" s="4">
        <f t="shared" si="59"/>
        <v>159.0488002354075</v>
      </c>
      <c r="AP81">
        <v>361.92591887971503</v>
      </c>
      <c r="AQ81" s="4">
        <f t="shared" si="60"/>
        <v>161.1925918879715</v>
      </c>
      <c r="AR81">
        <v>347.94765025522503</v>
      </c>
      <c r="AS81" s="4">
        <f t="shared" si="61"/>
        <v>159.79476502552251</v>
      </c>
      <c r="AT81">
        <v>439.87732098359498</v>
      </c>
      <c r="AU81" s="4">
        <f t="shared" si="62"/>
        <v>168.98773209835952</v>
      </c>
      <c r="AV81">
        <v>359.84534632368502</v>
      </c>
      <c r="AW81" s="4">
        <f t="shared" si="63"/>
        <v>160.98453463236851</v>
      </c>
      <c r="AX81">
        <v>370.297850184965</v>
      </c>
      <c r="AY81" s="4">
        <f t="shared" si="64"/>
        <v>162.02978501849651</v>
      </c>
      <c r="AZ81">
        <v>426.62029719513998</v>
      </c>
      <c r="BA81" s="4">
        <f t="shared" si="65"/>
        <v>167.66202971951401</v>
      </c>
      <c r="BB81">
        <v>482.46534582485498</v>
      </c>
      <c r="BC81" s="4">
        <f t="shared" si="66"/>
        <v>173.24653458248551</v>
      </c>
      <c r="BD81">
        <v>472.74092621277998</v>
      </c>
      <c r="BE81" s="4">
        <f t="shared" si="67"/>
        <v>172.27409262127799</v>
      </c>
      <c r="BF81">
        <v>553.06791257267992</v>
      </c>
      <c r="BG81" s="4">
        <f t="shared" si="68"/>
        <v>180.306791257268</v>
      </c>
      <c r="BH81">
        <v>519.00849170755998</v>
      </c>
      <c r="BI81" s="4">
        <f t="shared" si="69"/>
        <v>176.900849170756</v>
      </c>
      <c r="BJ81">
        <v>458.89552985492998</v>
      </c>
      <c r="BK81" s="4">
        <f t="shared" si="70"/>
        <v>170.889552985493</v>
      </c>
      <c r="BL81">
        <v>524.15912902703997</v>
      </c>
      <c r="BM81" s="4">
        <f t="shared" si="71"/>
        <v>177.41591290270401</v>
      </c>
      <c r="BN81">
        <v>543.27387165569496</v>
      </c>
      <c r="BO81" s="4">
        <f t="shared" si="72"/>
        <v>179.32738716556949</v>
      </c>
      <c r="BP81">
        <v>534.19535198622498</v>
      </c>
      <c r="BQ81" s="4">
        <f t="shared" si="73"/>
        <v>178.4195351986225</v>
      </c>
      <c r="BR81">
        <v>501.29714111049998</v>
      </c>
      <c r="BS81" s="4">
        <f t="shared" si="74"/>
        <v>175.12971411104999</v>
      </c>
      <c r="BT81">
        <v>423.83267382922003</v>
      </c>
      <c r="BU81" s="4">
        <f t="shared" si="75"/>
        <v>167.38326738292201</v>
      </c>
      <c r="BV81">
        <v>411.03001360434001</v>
      </c>
      <c r="BW81" s="4">
        <f t="shared" si="76"/>
        <v>166.10300136043401</v>
      </c>
      <c r="BX81">
        <v>374.17893390161498</v>
      </c>
      <c r="BY81" s="4">
        <f t="shared" si="77"/>
        <v>162.41789339016151</v>
      </c>
      <c r="BZ81">
        <v>441.82747967729</v>
      </c>
      <c r="CA81" s="4">
        <f t="shared" si="78"/>
        <v>169.182747967729</v>
      </c>
      <c r="CB81">
        <v>476.86577753212498</v>
      </c>
      <c r="CC81" s="4">
        <f t="shared" si="79"/>
        <v>172.6865777532125</v>
      </c>
      <c r="CD81">
        <v>473.39917036950999</v>
      </c>
      <c r="CE81" s="4">
        <f t="shared" si="80"/>
        <v>172.33991703695099</v>
      </c>
      <c r="CF81">
        <f t="shared" si="81"/>
        <v>165.57957550087198</v>
      </c>
    </row>
    <row r="82" spans="1:84" x14ac:dyDescent="0.2">
      <c r="A82" s="2">
        <v>42084</v>
      </c>
      <c r="B82">
        <v>2021</v>
      </c>
      <c r="C82">
        <v>8</v>
      </c>
      <c r="D82">
        <v>248.147667909874</v>
      </c>
      <c r="E82" s="4">
        <f t="shared" si="41"/>
        <v>149.62404376729938</v>
      </c>
      <c r="F82">
        <v>249.214095147432</v>
      </c>
      <c r="G82" s="4">
        <f t="shared" si="42"/>
        <v>149.84183079518672</v>
      </c>
      <c r="H82">
        <v>234.790488703818</v>
      </c>
      <c r="I82" s="4">
        <f t="shared" si="43"/>
        <v>146.58797096657369</v>
      </c>
      <c r="J82">
        <v>232.92596945304001</v>
      </c>
      <c r="K82" s="4">
        <f t="shared" si="44"/>
        <v>146.11875786001838</v>
      </c>
      <c r="L82">
        <v>227.328568642356</v>
      </c>
      <c r="M82" s="4">
        <f t="shared" si="45"/>
        <v>144.64332364878422</v>
      </c>
      <c r="N82">
        <v>233.71935595703599</v>
      </c>
      <c r="O82" s="4">
        <f t="shared" si="46"/>
        <v>146.31977619868127</v>
      </c>
      <c r="P82">
        <v>199.30758986167999</v>
      </c>
      <c r="Q82" s="4">
        <f t="shared" si="47"/>
        <v>135.74996525932534</v>
      </c>
      <c r="R82">
        <v>229.802721889776</v>
      </c>
      <c r="S82" s="4">
        <f t="shared" si="48"/>
        <v>145.30785630905643</v>
      </c>
      <c r="T82">
        <v>211.03637632982</v>
      </c>
      <c r="U82" s="4">
        <f t="shared" si="49"/>
        <v>139.77821291474572</v>
      </c>
      <c r="V82">
        <v>223.19566070678999</v>
      </c>
      <c r="W82" s="4">
        <f t="shared" si="50"/>
        <v>143.48957597344514</v>
      </c>
      <c r="X82">
        <v>243.73256047858001</v>
      </c>
      <c r="Y82" s="4">
        <f t="shared" si="51"/>
        <v>148.68366281866852</v>
      </c>
      <c r="Z82">
        <v>221.483330717228</v>
      </c>
      <c r="AA82" s="4">
        <f t="shared" si="52"/>
        <v>142.99554546027281</v>
      </c>
      <c r="AB82">
        <v>221.52276127401601</v>
      </c>
      <c r="AC82" s="4">
        <f t="shared" si="53"/>
        <v>143.00702725407248</v>
      </c>
      <c r="AD82">
        <v>255.85906870954801</v>
      </c>
      <c r="AE82" s="4">
        <f t="shared" si="54"/>
        <v>150.5859068709548</v>
      </c>
      <c r="AF82">
        <v>225.545428532176</v>
      </c>
      <c r="AG82" s="4">
        <f t="shared" si="55"/>
        <v>144.15224400135534</v>
      </c>
      <c r="AH82">
        <v>228.74691654733601</v>
      </c>
      <c r="AI82" s="4">
        <f t="shared" si="56"/>
        <v>145.02667361947377</v>
      </c>
      <c r="AJ82">
        <v>255.65314059148201</v>
      </c>
      <c r="AK82" s="4">
        <f t="shared" si="57"/>
        <v>150.56531405914819</v>
      </c>
      <c r="AL82">
        <v>235.90403673219399</v>
      </c>
      <c r="AM82" s="4">
        <f t="shared" si="58"/>
        <v>146.86289345772306</v>
      </c>
      <c r="AN82">
        <v>239.35861630854399</v>
      </c>
      <c r="AO82" s="4">
        <f t="shared" si="59"/>
        <v>147.69054078671871</v>
      </c>
      <c r="AP82">
        <v>248.13362295998601</v>
      </c>
      <c r="AQ82" s="4">
        <f t="shared" si="60"/>
        <v>149.62115121078841</v>
      </c>
      <c r="AR82">
        <v>241.23945081036001</v>
      </c>
      <c r="AS82" s="4">
        <f t="shared" si="61"/>
        <v>148.12509460670546</v>
      </c>
      <c r="AT82">
        <v>268.37307419657401</v>
      </c>
      <c r="AU82" s="4">
        <f t="shared" si="62"/>
        <v>151.83730741965741</v>
      </c>
      <c r="AV82">
        <v>247.29309850529</v>
      </c>
      <c r="AW82" s="4">
        <f t="shared" si="63"/>
        <v>149.44689599593468</v>
      </c>
      <c r="AX82">
        <v>249.09327472702799</v>
      </c>
      <c r="AY82" s="4">
        <f t="shared" si="64"/>
        <v>149.81733950425257</v>
      </c>
      <c r="AZ82">
        <v>276.69004666988002</v>
      </c>
      <c r="BA82" s="4">
        <f t="shared" si="65"/>
        <v>152.669004666988</v>
      </c>
      <c r="BB82">
        <v>221.75940244504599</v>
      </c>
      <c r="BC82" s="4">
        <f t="shared" si="66"/>
        <v>143.07583032859179</v>
      </c>
      <c r="BD82">
        <v>239.22310778167201</v>
      </c>
      <c r="BE82" s="4">
        <f t="shared" si="67"/>
        <v>147.65879530691765</v>
      </c>
      <c r="BF82">
        <v>245.20005886451</v>
      </c>
      <c r="BG82" s="4">
        <f t="shared" si="68"/>
        <v>149.00314867705532</v>
      </c>
      <c r="BH82">
        <v>257.10799597883801</v>
      </c>
      <c r="BI82" s="4">
        <f t="shared" si="69"/>
        <v>150.71079959788381</v>
      </c>
      <c r="BJ82">
        <v>253.19510030623201</v>
      </c>
      <c r="BK82" s="4">
        <f t="shared" si="70"/>
        <v>150.31951003062321</v>
      </c>
      <c r="BL82">
        <v>267.785004755768</v>
      </c>
      <c r="BM82" s="4">
        <f t="shared" si="71"/>
        <v>151.77850047557681</v>
      </c>
      <c r="BN82">
        <v>257.08463853816397</v>
      </c>
      <c r="BO82" s="4">
        <f t="shared" si="72"/>
        <v>150.7084638538164</v>
      </c>
      <c r="BP82">
        <v>259.51450906000798</v>
      </c>
      <c r="BQ82" s="4">
        <f t="shared" si="73"/>
        <v>150.95145090600079</v>
      </c>
      <c r="BR82">
        <v>282.22581841945203</v>
      </c>
      <c r="BS82" s="4">
        <f t="shared" si="74"/>
        <v>153.22258184194521</v>
      </c>
      <c r="BT82">
        <v>216.683281950702</v>
      </c>
      <c r="BU82" s="4">
        <f t="shared" si="75"/>
        <v>141.5606504676181</v>
      </c>
      <c r="BV82">
        <v>241.46629905701201</v>
      </c>
      <c r="BW82" s="4">
        <f t="shared" si="76"/>
        <v>148.17674132854742</v>
      </c>
      <c r="BX82">
        <v>248.805686349464</v>
      </c>
      <c r="BY82" s="4">
        <f t="shared" si="77"/>
        <v>149.75885505373941</v>
      </c>
      <c r="BZ82">
        <v>259.07791400596602</v>
      </c>
      <c r="CA82" s="4">
        <f t="shared" si="78"/>
        <v>150.90779140059661</v>
      </c>
      <c r="CB82">
        <v>280.20604290699401</v>
      </c>
      <c r="CC82" s="4">
        <f t="shared" si="79"/>
        <v>153.0206042906994</v>
      </c>
      <c r="CD82">
        <v>271.48926632110999</v>
      </c>
      <c r="CE82" s="4">
        <f t="shared" si="80"/>
        <v>152.148926632111</v>
      </c>
      <c r="CF82">
        <f t="shared" si="81"/>
        <v>147.44305683776034</v>
      </c>
    </row>
    <row r="83" spans="1:84" x14ac:dyDescent="0.2">
      <c r="A83" s="2">
        <v>42085</v>
      </c>
      <c r="B83">
        <v>2021</v>
      </c>
      <c r="C83">
        <v>9</v>
      </c>
      <c r="D83">
        <v>351.63481132785989</v>
      </c>
      <c r="E83" s="4">
        <f t="shared" si="41"/>
        <v>160.16348113278599</v>
      </c>
      <c r="F83">
        <v>349.16247046415998</v>
      </c>
      <c r="G83" s="4">
        <f t="shared" si="42"/>
        <v>159.916247046416</v>
      </c>
      <c r="H83">
        <v>355.78503857848</v>
      </c>
      <c r="I83" s="4">
        <f t="shared" si="43"/>
        <v>160.57850385784801</v>
      </c>
      <c r="J83">
        <v>346.66458873262002</v>
      </c>
      <c r="K83" s="4">
        <f t="shared" si="44"/>
        <v>159.666458873262</v>
      </c>
      <c r="L83">
        <v>336.07875735326002</v>
      </c>
      <c r="M83" s="4">
        <f t="shared" si="45"/>
        <v>158.60787573532599</v>
      </c>
      <c r="N83">
        <v>349.682204394</v>
      </c>
      <c r="O83" s="4">
        <f t="shared" si="46"/>
        <v>159.9682204394</v>
      </c>
      <c r="P83">
        <v>274.63018738798002</v>
      </c>
      <c r="Q83" s="4">
        <f t="shared" si="47"/>
        <v>152.46301873879801</v>
      </c>
      <c r="R83">
        <v>333.01991290554002</v>
      </c>
      <c r="S83" s="4">
        <f t="shared" si="48"/>
        <v>158.30199129055401</v>
      </c>
      <c r="T83">
        <v>307.19399569708003</v>
      </c>
      <c r="U83" s="4">
        <f t="shared" si="49"/>
        <v>155.719399569708</v>
      </c>
      <c r="V83">
        <v>286.3506277372</v>
      </c>
      <c r="W83" s="4">
        <f t="shared" si="50"/>
        <v>153.63506277371999</v>
      </c>
      <c r="X83">
        <v>340.13322541832002</v>
      </c>
      <c r="Y83" s="4">
        <f t="shared" si="51"/>
        <v>159.013322541832</v>
      </c>
      <c r="Z83">
        <v>291.65858748955998</v>
      </c>
      <c r="AA83" s="4">
        <f t="shared" si="52"/>
        <v>154.165858748956</v>
      </c>
      <c r="AB83">
        <v>273.71616708729999</v>
      </c>
      <c r="AC83" s="4">
        <f t="shared" si="53"/>
        <v>152.37161670873002</v>
      </c>
      <c r="AD83">
        <v>343.51170091706001</v>
      </c>
      <c r="AE83" s="4">
        <f t="shared" si="54"/>
        <v>159.351170091706</v>
      </c>
      <c r="AF83">
        <v>305.55689569395997</v>
      </c>
      <c r="AG83" s="4">
        <f t="shared" si="55"/>
        <v>155.55568956939601</v>
      </c>
      <c r="AH83">
        <v>280.99393269408</v>
      </c>
      <c r="AI83" s="4">
        <f t="shared" si="56"/>
        <v>153.09939326940801</v>
      </c>
      <c r="AJ83">
        <v>348.93138303273997</v>
      </c>
      <c r="AK83" s="4">
        <f t="shared" si="57"/>
        <v>159.89313830327399</v>
      </c>
      <c r="AL83">
        <v>303.78204613375999</v>
      </c>
      <c r="AM83" s="4">
        <f t="shared" si="58"/>
        <v>155.378204613376</v>
      </c>
      <c r="AN83">
        <v>290.29185126404002</v>
      </c>
      <c r="AO83" s="4">
        <f t="shared" si="59"/>
        <v>154.029185126404</v>
      </c>
      <c r="AP83">
        <v>340.60089059180001</v>
      </c>
      <c r="AQ83" s="4">
        <f t="shared" si="60"/>
        <v>159.06008905918</v>
      </c>
      <c r="AR83">
        <v>310.65410227913998</v>
      </c>
      <c r="AS83" s="4">
        <f t="shared" si="61"/>
        <v>156.06541022791401</v>
      </c>
      <c r="AT83">
        <v>320.55605683653999</v>
      </c>
      <c r="AU83" s="4">
        <f t="shared" si="62"/>
        <v>157.05560568365399</v>
      </c>
      <c r="AV83">
        <v>308.46119820464003</v>
      </c>
      <c r="AW83" s="4">
        <f t="shared" si="63"/>
        <v>155.846119820464</v>
      </c>
      <c r="AX83">
        <v>302.29312548121999</v>
      </c>
      <c r="AY83" s="4">
        <f t="shared" si="64"/>
        <v>155.22931254812201</v>
      </c>
      <c r="AZ83">
        <v>322.78219874892</v>
      </c>
      <c r="BA83" s="4">
        <f t="shared" si="65"/>
        <v>157.27821987489199</v>
      </c>
      <c r="BB83">
        <v>305.14852913456002</v>
      </c>
      <c r="BC83" s="4">
        <f t="shared" si="66"/>
        <v>155.514852913456</v>
      </c>
      <c r="BD83">
        <v>313.57714473886</v>
      </c>
      <c r="BE83" s="4">
        <f t="shared" si="67"/>
        <v>156.35771447388601</v>
      </c>
      <c r="BF83">
        <v>312.16455172724</v>
      </c>
      <c r="BG83" s="4">
        <f t="shared" si="68"/>
        <v>156.21645517272401</v>
      </c>
      <c r="BH83">
        <v>308.69037952567999</v>
      </c>
      <c r="BI83" s="4">
        <f t="shared" si="69"/>
        <v>155.86903795256799</v>
      </c>
      <c r="BJ83">
        <v>318.11158134599998</v>
      </c>
      <c r="BK83" s="4">
        <f t="shared" si="70"/>
        <v>156.81115813459999</v>
      </c>
      <c r="BL83">
        <v>317.76800509499998</v>
      </c>
      <c r="BM83" s="4">
        <f t="shared" si="71"/>
        <v>156.77680050949999</v>
      </c>
      <c r="BN83">
        <v>320.94157055585998</v>
      </c>
      <c r="BO83" s="4">
        <f t="shared" si="72"/>
        <v>157.09415705558601</v>
      </c>
      <c r="BP83">
        <v>322.08308930968002</v>
      </c>
      <c r="BQ83" s="4">
        <f t="shared" si="73"/>
        <v>157.208308930968</v>
      </c>
      <c r="BR83">
        <v>321.01053472464002</v>
      </c>
      <c r="BS83" s="4">
        <f t="shared" si="74"/>
        <v>157.101053472464</v>
      </c>
      <c r="BT83">
        <v>288.78735024216002</v>
      </c>
      <c r="BU83" s="4">
        <f t="shared" si="75"/>
        <v>153.87873502421601</v>
      </c>
      <c r="BV83">
        <v>303.92869386619998</v>
      </c>
      <c r="BW83" s="4">
        <f t="shared" si="76"/>
        <v>155.39286938661999</v>
      </c>
      <c r="BX83">
        <v>297.73190862375998</v>
      </c>
      <c r="BY83" s="4">
        <f t="shared" si="77"/>
        <v>154.773190862376</v>
      </c>
      <c r="BZ83">
        <v>317.82378204138001</v>
      </c>
      <c r="CA83" s="4">
        <f t="shared" si="78"/>
        <v>156.78237820413801</v>
      </c>
      <c r="CB83">
        <v>337.33174256950002</v>
      </c>
      <c r="CC83" s="4">
        <f t="shared" si="79"/>
        <v>158.73317425695001</v>
      </c>
      <c r="CD83">
        <v>331.74210442779997</v>
      </c>
      <c r="CE83" s="4">
        <f t="shared" si="80"/>
        <v>158.17421044278001</v>
      </c>
      <c r="CF83">
        <f t="shared" si="81"/>
        <v>156.66337386826933</v>
      </c>
    </row>
    <row r="84" spans="1:84" x14ac:dyDescent="0.2">
      <c r="A84" s="2">
        <v>42086</v>
      </c>
      <c r="B84">
        <v>2021</v>
      </c>
      <c r="C84">
        <v>10</v>
      </c>
      <c r="D84">
        <v>147.070536702228</v>
      </c>
      <c r="E84" s="4">
        <f t="shared" si="41"/>
        <v>112.46294827681777</v>
      </c>
      <c r="F84">
        <v>141.99079349251201</v>
      </c>
      <c r="G84" s="4">
        <f t="shared" si="42"/>
        <v>109.73257679389891</v>
      </c>
      <c r="H84">
        <v>151.39990502626199</v>
      </c>
      <c r="I84" s="4">
        <f t="shared" si="43"/>
        <v>114.72481503912415</v>
      </c>
      <c r="J84">
        <v>130.74442397231999</v>
      </c>
      <c r="K84" s="4">
        <f t="shared" si="44"/>
        <v>103.39385693255397</v>
      </c>
      <c r="L84">
        <v>135.8153977863</v>
      </c>
      <c r="M84" s="4">
        <f t="shared" si="45"/>
        <v>106.30208214493854</v>
      </c>
      <c r="N84">
        <v>136.61858317542601</v>
      </c>
      <c r="O84" s="4">
        <f t="shared" si="46"/>
        <v>106.75516354524873</v>
      </c>
      <c r="P84">
        <v>110.204287033092</v>
      </c>
      <c r="Q84" s="4">
        <f t="shared" si="47"/>
        <v>90.77231122433659</v>
      </c>
      <c r="R84">
        <v>121.409267118492</v>
      </c>
      <c r="S84" s="4">
        <f t="shared" si="48"/>
        <v>97.824930890893043</v>
      </c>
      <c r="T84">
        <v>115.84121968529401</v>
      </c>
      <c r="U84" s="4">
        <f t="shared" si="49"/>
        <v>94.370518600211525</v>
      </c>
      <c r="V84">
        <v>111.06567548612399</v>
      </c>
      <c r="W84" s="4">
        <f t="shared" si="50"/>
        <v>91.328740652221569</v>
      </c>
      <c r="X84">
        <v>129.99130639222199</v>
      </c>
      <c r="Y84" s="4">
        <f t="shared" si="51"/>
        <v>102.95492281213153</v>
      </c>
      <c r="Z84">
        <v>116.00022519517201</v>
      </c>
      <c r="AA84" s="4">
        <f t="shared" si="52"/>
        <v>94.470541602643024</v>
      </c>
      <c r="AB84">
        <v>108.71430299185199</v>
      </c>
      <c r="AC84" s="4">
        <f t="shared" si="53"/>
        <v>89.804223511845279</v>
      </c>
      <c r="AD84">
        <v>139.32094799742001</v>
      </c>
      <c r="AE84" s="4">
        <f t="shared" si="54"/>
        <v>108.26442551598031</v>
      </c>
      <c r="AF84">
        <v>119.14849011987</v>
      </c>
      <c r="AG84" s="4">
        <f t="shared" si="55"/>
        <v>96.434309803318399</v>
      </c>
      <c r="AH84">
        <v>116.044516204188</v>
      </c>
      <c r="AI84" s="4">
        <f t="shared" si="56"/>
        <v>94.498388618485521</v>
      </c>
      <c r="AJ84">
        <v>131.73722028016201</v>
      </c>
      <c r="AK84" s="4">
        <f t="shared" si="57"/>
        <v>103.96970794873172</v>
      </c>
      <c r="AL84">
        <v>133.31902577394001</v>
      </c>
      <c r="AM84" s="4">
        <f t="shared" si="58"/>
        <v>104.88068556064003</v>
      </c>
      <c r="AN84">
        <v>129.71366047062</v>
      </c>
      <c r="AO84" s="4">
        <f t="shared" si="59"/>
        <v>102.79264653032034</v>
      </c>
      <c r="AP84">
        <v>150.16028820174</v>
      </c>
      <c r="AQ84" s="4">
        <f t="shared" si="60"/>
        <v>114.08330875721261</v>
      </c>
      <c r="AR84">
        <v>153.42874715888999</v>
      </c>
      <c r="AS84" s="4">
        <f t="shared" si="61"/>
        <v>115.76413843129545</v>
      </c>
      <c r="AT84">
        <v>123.562083088824</v>
      </c>
      <c r="AU84" s="4">
        <f t="shared" si="62"/>
        <v>99.133941685224883</v>
      </c>
      <c r="AV84">
        <v>123.611703465312</v>
      </c>
      <c r="AW84" s="4">
        <f t="shared" si="63"/>
        <v>99.16393829155804</v>
      </c>
      <c r="AX84">
        <v>127.024578561552</v>
      </c>
      <c r="AY84" s="4">
        <f t="shared" si="64"/>
        <v>101.20818886756817</v>
      </c>
      <c r="AZ84">
        <v>129.38683900968601</v>
      </c>
      <c r="BA84" s="4">
        <f t="shared" si="65"/>
        <v>102.60131243541656</v>
      </c>
      <c r="BB84">
        <v>107.61581342673</v>
      </c>
      <c r="BC84" s="4">
        <f t="shared" si="66"/>
        <v>89.085952147535195</v>
      </c>
      <c r="BD84">
        <v>107.88902583853201</v>
      </c>
      <c r="BE84" s="4">
        <f t="shared" si="67"/>
        <v>89.264958804312116</v>
      </c>
      <c r="BF84">
        <v>107.388457412718</v>
      </c>
      <c r="BG84" s="4">
        <f t="shared" si="68"/>
        <v>88.936808155944959</v>
      </c>
      <c r="BH84">
        <v>105.19583452197</v>
      </c>
      <c r="BI84" s="4">
        <f t="shared" si="69"/>
        <v>87.489972760732101</v>
      </c>
      <c r="BJ84">
        <v>114.79802319655199</v>
      </c>
      <c r="BK84" s="4">
        <f t="shared" si="70"/>
        <v>93.712285388814252</v>
      </c>
      <c r="BL84">
        <v>110.85010375146599</v>
      </c>
      <c r="BM84" s="4">
        <f t="shared" si="71"/>
        <v>91.189710948728759</v>
      </c>
      <c r="BN84">
        <v>107.191634075094</v>
      </c>
      <c r="BO84" s="4">
        <f t="shared" si="72"/>
        <v>88.807559809991844</v>
      </c>
      <c r="BP84">
        <v>114.642786517818</v>
      </c>
      <c r="BQ84" s="4">
        <f t="shared" si="73"/>
        <v>93.614036916906016</v>
      </c>
      <c r="BR84">
        <v>120.547776006768</v>
      </c>
      <c r="BS84" s="4">
        <f t="shared" si="74"/>
        <v>97.296949926483336</v>
      </c>
      <c r="BT84">
        <v>106.60280984145599</v>
      </c>
      <c r="BU84" s="4">
        <f t="shared" si="75"/>
        <v>88.420155335706198</v>
      </c>
      <c r="BV84">
        <v>113.096414393586</v>
      </c>
      <c r="BW84" s="4">
        <f t="shared" si="76"/>
        <v>92.631136075688843</v>
      </c>
      <c r="BX84">
        <v>114.15687340303801</v>
      </c>
      <c r="BY84" s="4">
        <f t="shared" si="77"/>
        <v>93.306006610786412</v>
      </c>
      <c r="BZ84">
        <v>117.219663842022</v>
      </c>
      <c r="CA84" s="4">
        <f t="shared" si="78"/>
        <v>95.234944496043369</v>
      </c>
      <c r="CB84">
        <v>125.11336882347</v>
      </c>
      <c r="CC84" s="4">
        <f t="shared" si="79"/>
        <v>100.06800073009778</v>
      </c>
      <c r="CD84">
        <v>129.05286303511201</v>
      </c>
      <c r="CE84" s="4">
        <f t="shared" si="80"/>
        <v>102.405436703017</v>
      </c>
      <c r="CF84">
        <f t="shared" si="81"/>
        <v>98.517947176157961</v>
      </c>
    </row>
    <row r="85" spans="1:84" x14ac:dyDescent="0.2">
      <c r="A85" s="2">
        <v>42087</v>
      </c>
      <c r="B85">
        <v>2021</v>
      </c>
      <c r="C85">
        <v>11</v>
      </c>
      <c r="D85">
        <v>151.047000626889</v>
      </c>
      <c r="E85" s="4">
        <f t="shared" si="41"/>
        <v>114.54268638948196</v>
      </c>
      <c r="F85">
        <v>138.00527824223099</v>
      </c>
      <c r="G85" s="4">
        <f t="shared" si="42"/>
        <v>107.53254732588604</v>
      </c>
      <c r="H85">
        <v>155.02882766097801</v>
      </c>
      <c r="I85" s="4">
        <f t="shared" si="43"/>
        <v>116.57452781147846</v>
      </c>
      <c r="J85">
        <v>111.80605001069</v>
      </c>
      <c r="K85" s="4">
        <f t="shared" si="44"/>
        <v>91.805101500301348</v>
      </c>
      <c r="L85">
        <v>188.614281878188</v>
      </c>
      <c r="M85" s="4">
        <f t="shared" si="45"/>
        <v>131.69372615270871</v>
      </c>
      <c r="N85">
        <v>112.800558134217</v>
      </c>
      <c r="O85" s="4">
        <f t="shared" si="46"/>
        <v>92.442212669591612</v>
      </c>
      <c r="P85">
        <v>92.575432179262009</v>
      </c>
      <c r="Q85" s="4">
        <f t="shared" si="47"/>
        <v>78.863095150178594</v>
      </c>
      <c r="R85">
        <v>100.691453496042</v>
      </c>
      <c r="S85" s="4">
        <f t="shared" si="48"/>
        <v>84.46942340460906</v>
      </c>
      <c r="T85">
        <v>116.041968723286</v>
      </c>
      <c r="U85" s="4">
        <f t="shared" si="49"/>
        <v>94.496787115004267</v>
      </c>
      <c r="V85">
        <v>98.511910830267993</v>
      </c>
      <c r="W85" s="4">
        <f t="shared" si="50"/>
        <v>82.98455630957892</v>
      </c>
      <c r="X85">
        <v>105.774765763538</v>
      </c>
      <c r="Y85" s="4">
        <f t="shared" si="51"/>
        <v>87.873484047807864</v>
      </c>
      <c r="Z85">
        <v>123.157797483444</v>
      </c>
      <c r="AA85" s="4">
        <f t="shared" si="52"/>
        <v>98.889248553887199</v>
      </c>
      <c r="AB85">
        <v>125.244348930773</v>
      </c>
      <c r="AC85" s="4">
        <f t="shared" si="53"/>
        <v>100.14651382822385</v>
      </c>
      <c r="AD85">
        <v>119.588124821718</v>
      </c>
      <c r="AE85" s="4">
        <f t="shared" si="54"/>
        <v>96.706013464318318</v>
      </c>
      <c r="AF85">
        <v>128.705316171569</v>
      </c>
      <c r="AG85" s="4">
        <f t="shared" si="55"/>
        <v>102.20122271425133</v>
      </c>
      <c r="AH85">
        <v>93.332775380061008</v>
      </c>
      <c r="AI85" s="4">
        <f t="shared" si="56"/>
        <v>79.395164243829129</v>
      </c>
      <c r="AJ85">
        <v>137.96902473357699</v>
      </c>
      <c r="AK85" s="4">
        <f t="shared" si="57"/>
        <v>107.51230187608198</v>
      </c>
      <c r="AL85">
        <v>142.077513815983</v>
      </c>
      <c r="AM85" s="4">
        <f t="shared" si="58"/>
        <v>109.77988192457366</v>
      </c>
      <c r="AN85">
        <v>88.981551264510003</v>
      </c>
      <c r="AO85" s="4">
        <f t="shared" si="59"/>
        <v>76.313204919808214</v>
      </c>
      <c r="AP85">
        <v>137.44926014565999</v>
      </c>
      <c r="AQ85" s="4">
        <f t="shared" si="60"/>
        <v>107.2215815623171</v>
      </c>
      <c r="AR85">
        <v>125.186352457147</v>
      </c>
      <c r="AS85" s="4">
        <f t="shared" si="61"/>
        <v>100.11175591070693</v>
      </c>
      <c r="AT85">
        <v>79.560611926814005</v>
      </c>
      <c r="AU85" s="4">
        <f t="shared" si="62"/>
        <v>69.43278637454344</v>
      </c>
      <c r="AV85">
        <v>79.812929023796002</v>
      </c>
      <c r="AW85" s="4">
        <f t="shared" si="63"/>
        <v>69.620763200824001</v>
      </c>
      <c r="AX85">
        <v>97.89161791385699</v>
      </c>
      <c r="AY85" s="4">
        <f t="shared" si="64"/>
        <v>82.559187741388868</v>
      </c>
      <c r="AZ85">
        <v>94.711714763528008</v>
      </c>
      <c r="BA85" s="4">
        <f t="shared" si="65"/>
        <v>80.359220502011397</v>
      </c>
      <c r="BB85">
        <v>70.442123630889</v>
      </c>
      <c r="BC85" s="4">
        <f t="shared" si="66"/>
        <v>62.502775180281873</v>
      </c>
      <c r="BD85">
        <v>77.443841818045996</v>
      </c>
      <c r="BE85" s="4">
        <f t="shared" si="67"/>
        <v>67.847764001184345</v>
      </c>
      <c r="BF85">
        <v>68.044017920645004</v>
      </c>
      <c r="BG85" s="4">
        <f t="shared" si="68"/>
        <v>60.636036520988903</v>
      </c>
      <c r="BH85">
        <v>72.792197776893005</v>
      </c>
      <c r="BI85" s="4">
        <f t="shared" si="69"/>
        <v>64.314271285388514</v>
      </c>
      <c r="BJ85">
        <v>97.232813055804002</v>
      </c>
      <c r="BK85" s="4">
        <f t="shared" si="70"/>
        <v>82.106061160212121</v>
      </c>
      <c r="BL85">
        <v>82.436997926526004</v>
      </c>
      <c r="BM85" s="4">
        <f t="shared" si="71"/>
        <v>71.563624123105129</v>
      </c>
      <c r="BN85">
        <v>88.257653337682001</v>
      </c>
      <c r="BO85" s="4">
        <f t="shared" si="72"/>
        <v>75.794591941402871</v>
      </c>
      <c r="BP85">
        <v>79.908829462859998</v>
      </c>
      <c r="BQ85" s="4">
        <f t="shared" si="73"/>
        <v>69.692155821060894</v>
      </c>
      <c r="BR85">
        <v>76.906764956030003</v>
      </c>
      <c r="BS85" s="4">
        <f t="shared" si="74"/>
        <v>67.44332416242672</v>
      </c>
      <c r="BT85">
        <v>86.034298081686003</v>
      </c>
      <c r="BU85" s="4">
        <f t="shared" si="75"/>
        <v>74.19125736743257</v>
      </c>
      <c r="BV85">
        <v>112.378380118575</v>
      </c>
      <c r="BW85" s="4">
        <f t="shared" si="76"/>
        <v>92.172139609655105</v>
      </c>
      <c r="BX85">
        <v>117.273549562509</v>
      </c>
      <c r="BY85" s="4">
        <f t="shared" si="77"/>
        <v>95.268612879324607</v>
      </c>
      <c r="BZ85">
        <v>92.451707934373999</v>
      </c>
      <c r="CA85" s="4">
        <f t="shared" si="78"/>
        <v>78.775998654401533</v>
      </c>
      <c r="CB85">
        <v>103.462850368114</v>
      </c>
      <c r="CC85" s="4">
        <f t="shared" si="79"/>
        <v>86.335552118042415</v>
      </c>
      <c r="CD85">
        <v>127.280427616422</v>
      </c>
      <c r="CE85" s="4">
        <f t="shared" si="80"/>
        <v>101.35993600967122</v>
      </c>
      <c r="CF85">
        <f t="shared" si="81"/>
        <v>87.544371763875205</v>
      </c>
    </row>
    <row r="86" spans="1:84" x14ac:dyDescent="0.2">
      <c r="A86" s="2">
        <v>42088</v>
      </c>
      <c r="B86">
        <v>2021</v>
      </c>
      <c r="C86">
        <v>12</v>
      </c>
      <c r="D86">
        <v>6.1442881174639989</v>
      </c>
      <c r="E86" s="4">
        <f t="shared" si="41"/>
        <v>6.0838844751113434</v>
      </c>
      <c r="F86">
        <v>6.5709834146180004</v>
      </c>
      <c r="G86" s="4">
        <f t="shared" si="42"/>
        <v>6.5018988977617047</v>
      </c>
      <c r="H86">
        <v>7.7185392430089994</v>
      </c>
      <c r="I86" s="4">
        <f t="shared" si="43"/>
        <v>7.6232178861356079</v>
      </c>
      <c r="J86">
        <v>6.4260259323610001</v>
      </c>
      <c r="K86" s="4">
        <f t="shared" si="44"/>
        <v>6.3599558375075986</v>
      </c>
      <c r="L86">
        <v>9.5331528308099998</v>
      </c>
      <c r="M86" s="4">
        <f t="shared" si="45"/>
        <v>9.3877432261770721</v>
      </c>
      <c r="N86">
        <v>5.3650243279499996</v>
      </c>
      <c r="O86" s="4">
        <f t="shared" si="46"/>
        <v>5.318970750286808</v>
      </c>
      <c r="P86">
        <v>2.4146910360090001</v>
      </c>
      <c r="Q86" s="4">
        <f t="shared" si="47"/>
        <v>2.4053618635299885</v>
      </c>
      <c r="R86">
        <v>4.669039634182</v>
      </c>
      <c r="S86" s="4">
        <f t="shared" si="48"/>
        <v>4.6341597444131004</v>
      </c>
      <c r="T86">
        <v>4.0937744977920003</v>
      </c>
      <c r="U86" s="4">
        <f t="shared" si="49"/>
        <v>4.066960114369965</v>
      </c>
      <c r="V86">
        <v>3.0970777743500002</v>
      </c>
      <c r="W86" s="4">
        <f t="shared" si="50"/>
        <v>3.0817307491654038</v>
      </c>
      <c r="X86">
        <v>5.8013591751220002</v>
      </c>
      <c r="Y86" s="4">
        <f t="shared" si="51"/>
        <v>5.7475099458759642</v>
      </c>
      <c r="Z86">
        <v>5.0730100180340001</v>
      </c>
      <c r="AA86" s="4">
        <f t="shared" si="52"/>
        <v>5.0318333290050834</v>
      </c>
      <c r="AB86">
        <v>3.1579658362840002</v>
      </c>
      <c r="AC86" s="4">
        <f t="shared" si="53"/>
        <v>3.1420094391269813</v>
      </c>
      <c r="AD86">
        <v>6.9591880951319993</v>
      </c>
      <c r="AE86" s="4">
        <f t="shared" si="54"/>
        <v>6.881699616822516</v>
      </c>
      <c r="AF86">
        <v>5.1182811580459999</v>
      </c>
      <c r="AG86" s="4">
        <f t="shared" si="55"/>
        <v>5.0763662748255065</v>
      </c>
      <c r="AH86">
        <v>3.651662867495999</v>
      </c>
      <c r="AI86" s="4">
        <f t="shared" si="56"/>
        <v>3.6303274407794408</v>
      </c>
      <c r="AJ86">
        <v>5.2213352349199997</v>
      </c>
      <c r="AK86" s="4">
        <f t="shared" si="57"/>
        <v>5.1777154883033329</v>
      </c>
      <c r="AL86">
        <v>4.2730563118460001</v>
      </c>
      <c r="AM86" s="4">
        <f t="shared" si="58"/>
        <v>4.2438418954552688</v>
      </c>
      <c r="AN86">
        <v>3.632174837375</v>
      </c>
      <c r="AO86" s="4">
        <f t="shared" si="59"/>
        <v>3.6110665268961837</v>
      </c>
      <c r="AP86">
        <v>6.1383008146530003</v>
      </c>
      <c r="AQ86" s="4">
        <f t="shared" si="60"/>
        <v>6.078014835627128</v>
      </c>
      <c r="AR86">
        <v>3.3252857547489998</v>
      </c>
      <c r="AS86" s="4">
        <f t="shared" si="61"/>
        <v>3.3075937141878211</v>
      </c>
      <c r="AT86">
        <v>0.60206871614399993</v>
      </c>
      <c r="AU86" s="4">
        <f t="shared" si="62"/>
        <v>0.60148873736166508</v>
      </c>
      <c r="AV86">
        <v>1.74956803441</v>
      </c>
      <c r="AW86" s="4">
        <f t="shared" si="63"/>
        <v>1.7446704531187531</v>
      </c>
      <c r="AX86">
        <v>1.5789934156080001</v>
      </c>
      <c r="AY86" s="4">
        <f t="shared" si="64"/>
        <v>1.5750042632775467</v>
      </c>
      <c r="AZ86">
        <v>1.4668010619359999</v>
      </c>
      <c r="BA86" s="4">
        <f t="shared" si="65"/>
        <v>1.4633586533675254</v>
      </c>
      <c r="BB86">
        <v>2.147839599059</v>
      </c>
      <c r="BC86" s="4">
        <f t="shared" si="66"/>
        <v>2.1404584551497425</v>
      </c>
      <c r="BD86">
        <v>2.521970839892</v>
      </c>
      <c r="BE86" s="4">
        <f t="shared" si="67"/>
        <v>2.5117943008243753</v>
      </c>
      <c r="BF86">
        <v>2.5590813954440002</v>
      </c>
      <c r="BG86" s="4">
        <f t="shared" si="68"/>
        <v>2.5486031593023877</v>
      </c>
      <c r="BH86">
        <v>1.8065531850380001</v>
      </c>
      <c r="BI86" s="4">
        <f t="shared" si="69"/>
        <v>1.8013313699814066</v>
      </c>
      <c r="BJ86">
        <v>1.234970639665</v>
      </c>
      <c r="BK86" s="4">
        <f t="shared" si="70"/>
        <v>1.2325303956956648</v>
      </c>
      <c r="BL86">
        <v>0.98083960537499981</v>
      </c>
      <c r="BM86" s="4">
        <f t="shared" si="71"/>
        <v>0.97930033124464433</v>
      </c>
      <c r="BN86">
        <v>1.3908832446670001</v>
      </c>
      <c r="BO86" s="4">
        <f t="shared" si="72"/>
        <v>1.3877879547465275</v>
      </c>
      <c r="BP86">
        <v>1.30188503046</v>
      </c>
      <c r="BQ86" s="4">
        <f t="shared" si="73"/>
        <v>1.2991731830479427</v>
      </c>
      <c r="BR86">
        <v>0</v>
      </c>
      <c r="BS86" s="4">
        <f t="shared" si="74"/>
        <v>0</v>
      </c>
      <c r="BT86">
        <v>2.7535775638210001</v>
      </c>
      <c r="BU86" s="4">
        <f t="shared" si="75"/>
        <v>2.7414460607810347</v>
      </c>
      <c r="BV86">
        <v>1.3991386335710001</v>
      </c>
      <c r="BW86" s="4">
        <f t="shared" si="76"/>
        <v>1.3960064913054786</v>
      </c>
      <c r="BX86">
        <v>1.0792841147900001</v>
      </c>
      <c r="BY86" s="4">
        <f t="shared" si="77"/>
        <v>1.0774203480692992</v>
      </c>
      <c r="BZ86">
        <v>0.21526189804699999</v>
      </c>
      <c r="CA86" s="4">
        <f t="shared" si="78"/>
        <v>0.21518775775139873</v>
      </c>
      <c r="CB86">
        <v>0</v>
      </c>
      <c r="CC86" s="4">
        <f t="shared" si="79"/>
        <v>0</v>
      </c>
      <c r="CD86">
        <v>0</v>
      </c>
      <c r="CE86" s="4">
        <f t="shared" si="80"/>
        <v>0</v>
      </c>
      <c r="CF86">
        <f t="shared" si="81"/>
        <v>3.3130225136745786</v>
      </c>
    </row>
    <row r="87" spans="1:84" x14ac:dyDescent="0.2">
      <c r="A87" s="2">
        <v>42089</v>
      </c>
      <c r="B87">
        <v>2022</v>
      </c>
      <c r="C87">
        <v>1</v>
      </c>
      <c r="D87">
        <v>95.693346457949986</v>
      </c>
      <c r="E87" s="4">
        <f t="shared" si="41"/>
        <v>81.041799967835999</v>
      </c>
      <c r="F87">
        <v>118.25625394364999</v>
      </c>
      <c r="G87" s="4">
        <f t="shared" si="42"/>
        <v>95.88098738879394</v>
      </c>
      <c r="H87">
        <v>181.0462882251</v>
      </c>
      <c r="I87" s="4">
        <f t="shared" si="43"/>
        <v>128.60187465696242</v>
      </c>
      <c r="J87">
        <v>101.07388150200001</v>
      </c>
      <c r="K87" s="4">
        <f t="shared" si="44"/>
        <v>84.728394266991472</v>
      </c>
      <c r="L87">
        <v>134.52452756669999</v>
      </c>
      <c r="M87" s="4">
        <f t="shared" si="45"/>
        <v>105.56956993942987</v>
      </c>
      <c r="N87">
        <v>86.658581653349998</v>
      </c>
      <c r="O87" s="4">
        <f t="shared" si="46"/>
        <v>74.643046014677466</v>
      </c>
      <c r="P87">
        <v>33.11718310365</v>
      </c>
      <c r="Q87" s="4">
        <f t="shared" si="47"/>
        <v>31.362386596896908</v>
      </c>
      <c r="R87">
        <v>83.817581406599999</v>
      </c>
      <c r="S87" s="4">
        <f t="shared" si="48"/>
        <v>72.576962282036774</v>
      </c>
      <c r="T87">
        <v>59.152161346049994</v>
      </c>
      <c r="U87" s="4">
        <f t="shared" si="49"/>
        <v>53.553796238995382</v>
      </c>
      <c r="V87">
        <v>36.224829243149998</v>
      </c>
      <c r="W87" s="4">
        <f t="shared" si="50"/>
        <v>34.125248037237398</v>
      </c>
      <c r="X87">
        <v>82.123341869249998</v>
      </c>
      <c r="Y87" s="4">
        <f t="shared" si="51"/>
        <v>71.332552621612066</v>
      </c>
      <c r="Z87">
        <v>44.2663625733</v>
      </c>
      <c r="AA87" s="4">
        <f t="shared" si="52"/>
        <v>41.131145204546627</v>
      </c>
      <c r="AB87">
        <v>12.317141301885</v>
      </c>
      <c r="AC87" s="4">
        <f t="shared" si="53"/>
        <v>12.074402150124039</v>
      </c>
      <c r="AD87">
        <v>78.358472166149994</v>
      </c>
      <c r="AE87" s="4">
        <f t="shared" si="54"/>
        <v>68.534391909808704</v>
      </c>
      <c r="AF87">
        <v>44.902727619449998</v>
      </c>
      <c r="AG87" s="4">
        <f t="shared" si="55"/>
        <v>41.676719703183565</v>
      </c>
      <c r="AH87">
        <v>0</v>
      </c>
      <c r="AI87" s="4">
        <f t="shared" si="56"/>
        <v>0</v>
      </c>
      <c r="AJ87">
        <v>89.866551467099995</v>
      </c>
      <c r="AK87" s="4">
        <f t="shared" si="57"/>
        <v>76.944956150957708</v>
      </c>
      <c r="AL87">
        <v>81.419166476099988</v>
      </c>
      <c r="AM87" s="4">
        <f t="shared" si="58"/>
        <v>70.812637404639361</v>
      </c>
      <c r="AN87">
        <v>47.233805419499987</v>
      </c>
      <c r="AO87" s="4">
        <f t="shared" si="59"/>
        <v>43.664153620448488</v>
      </c>
      <c r="AP87">
        <v>132.82827592589999</v>
      </c>
      <c r="AQ87" s="4">
        <f t="shared" si="60"/>
        <v>104.59891450918477</v>
      </c>
      <c r="AR87">
        <v>124.1043806238</v>
      </c>
      <c r="AS87" s="4">
        <f t="shared" si="61"/>
        <v>99.461344959772759</v>
      </c>
      <c r="AT87">
        <v>18.967322761799998</v>
      </c>
      <c r="AU87" s="4">
        <f t="shared" si="62"/>
        <v>18.391707829399522</v>
      </c>
      <c r="AV87">
        <v>16.781960247810002</v>
      </c>
      <c r="AW87" s="4">
        <f t="shared" si="63"/>
        <v>16.331345544195482</v>
      </c>
      <c r="AX87">
        <v>35.40173319222</v>
      </c>
      <c r="AY87" s="4">
        <f t="shared" si="64"/>
        <v>33.396480851398991</v>
      </c>
      <c r="AZ87">
        <v>32.704338069690003</v>
      </c>
      <c r="BA87" s="4">
        <f t="shared" si="65"/>
        <v>30.993020103967481</v>
      </c>
      <c r="BB87">
        <v>17.833877290635002</v>
      </c>
      <c r="BC87" s="4">
        <f t="shared" si="66"/>
        <v>17.325001803887119</v>
      </c>
      <c r="BD87">
        <v>16.291450074644999</v>
      </c>
      <c r="BE87" s="4">
        <f t="shared" si="67"/>
        <v>15.866791921789558</v>
      </c>
      <c r="BF87">
        <v>12.190950220395001</v>
      </c>
      <c r="BG87" s="4">
        <f t="shared" si="68"/>
        <v>11.953159392753163</v>
      </c>
      <c r="BH87">
        <v>11.459694065324999</v>
      </c>
      <c r="BI87" s="4">
        <f t="shared" si="69"/>
        <v>11.249574724411646</v>
      </c>
      <c r="BJ87">
        <v>16.951148250359999</v>
      </c>
      <c r="BK87" s="4">
        <f t="shared" si="70"/>
        <v>16.491401967150907</v>
      </c>
      <c r="BL87">
        <v>18.3203174394</v>
      </c>
      <c r="BM87" s="4">
        <f t="shared" si="71"/>
        <v>17.783302989671384</v>
      </c>
      <c r="BN87">
        <v>16.740192116340001</v>
      </c>
      <c r="BO87" s="4">
        <f t="shared" si="72"/>
        <v>16.291817664992845</v>
      </c>
      <c r="BP87">
        <v>23.536359009000002</v>
      </c>
      <c r="BQ87" s="4">
        <f t="shared" si="73"/>
        <v>22.650022696359144</v>
      </c>
      <c r="BR87">
        <v>14.41961817708</v>
      </c>
      <c r="BS87" s="4">
        <f t="shared" si="74"/>
        <v>14.086937555683559</v>
      </c>
      <c r="BT87">
        <v>27.504919773000001</v>
      </c>
      <c r="BU87" s="4">
        <f t="shared" si="75"/>
        <v>26.294486794249334</v>
      </c>
      <c r="BV87">
        <v>32.73980773425</v>
      </c>
      <c r="BW87" s="4">
        <f t="shared" si="76"/>
        <v>31.02477571748895</v>
      </c>
      <c r="BX87">
        <v>13.818658834260001</v>
      </c>
      <c r="BY87" s="4">
        <f t="shared" si="77"/>
        <v>13.513130303095727</v>
      </c>
      <c r="BZ87">
        <v>14.34163010943</v>
      </c>
      <c r="CA87" s="4">
        <f t="shared" si="78"/>
        <v>14.012538342716864</v>
      </c>
      <c r="CB87">
        <v>18.518460287130001</v>
      </c>
      <c r="CC87" s="4">
        <f t="shared" si="79"/>
        <v>17.969766892880383</v>
      </c>
      <c r="CD87">
        <v>31.96377009555</v>
      </c>
      <c r="CE87" s="4">
        <f t="shared" si="80"/>
        <v>30.329077937596118</v>
      </c>
      <c r="CF87">
        <f t="shared" si="81"/>
        <v>44.576404131827573</v>
      </c>
    </row>
    <row r="88" spans="1:84" x14ac:dyDescent="0.2">
      <c r="A88" s="2">
        <v>42090</v>
      </c>
      <c r="B88">
        <v>2022</v>
      </c>
      <c r="C88">
        <v>2</v>
      </c>
      <c r="D88">
        <v>7.7087228160599999</v>
      </c>
      <c r="E88" s="4">
        <f t="shared" si="41"/>
        <v>7.6136437641322487</v>
      </c>
      <c r="F88">
        <v>7.80685317972</v>
      </c>
      <c r="G88" s="4">
        <f t="shared" si="42"/>
        <v>7.7093380492084735</v>
      </c>
      <c r="H88">
        <v>9.395037459360001</v>
      </c>
      <c r="I88" s="4">
        <f t="shared" si="43"/>
        <v>9.2538106931795578</v>
      </c>
      <c r="J88">
        <v>8.1432790777800008</v>
      </c>
      <c r="K88" s="4">
        <f t="shared" si="44"/>
        <v>8.0371782871582251</v>
      </c>
      <c r="L88">
        <v>10.964479442111999</v>
      </c>
      <c r="M88" s="4">
        <f t="shared" si="45"/>
        <v>10.772127747013604</v>
      </c>
      <c r="N88">
        <v>7.7510575515240001</v>
      </c>
      <c r="O88" s="4">
        <f t="shared" si="46"/>
        <v>7.6549313224567408</v>
      </c>
      <c r="P88">
        <v>2.8633299808679999</v>
      </c>
      <c r="Q88" s="4">
        <f t="shared" si="47"/>
        <v>2.8502121271410603</v>
      </c>
      <c r="R88">
        <v>5.9445542273039997</v>
      </c>
      <c r="S88" s="4">
        <f t="shared" si="48"/>
        <v>5.8880138673658271</v>
      </c>
      <c r="T88">
        <v>5.7631280983920004</v>
      </c>
      <c r="U88" s="4">
        <f t="shared" si="49"/>
        <v>5.7099862656264397</v>
      </c>
      <c r="V88">
        <v>3.39986404296</v>
      </c>
      <c r="W88" s="4">
        <f t="shared" si="50"/>
        <v>3.3813695221430202</v>
      </c>
      <c r="X88">
        <v>5.3449748044559993</v>
      </c>
      <c r="Y88" s="4">
        <f t="shared" si="51"/>
        <v>5.2992647953995684</v>
      </c>
      <c r="Z88">
        <v>3.6497831804279999</v>
      </c>
      <c r="AA88" s="4">
        <f t="shared" si="52"/>
        <v>3.6284697128053836</v>
      </c>
      <c r="AB88">
        <v>0.68197793202000001</v>
      </c>
      <c r="AC88" s="4">
        <f t="shared" si="53"/>
        <v>0.68123378178038041</v>
      </c>
      <c r="AD88">
        <v>5.6509600583520001</v>
      </c>
      <c r="AE88" s="4">
        <f t="shared" si="54"/>
        <v>5.5998666990222565</v>
      </c>
      <c r="AF88">
        <v>3.1649396209199998</v>
      </c>
      <c r="AG88" s="4">
        <f t="shared" si="55"/>
        <v>3.148912672433489</v>
      </c>
      <c r="AH88">
        <v>0.27609964376399998</v>
      </c>
      <c r="AI88" s="4">
        <f t="shared" si="56"/>
        <v>0.27597767414274144</v>
      </c>
      <c r="AJ88">
        <v>5.8606524799199997</v>
      </c>
      <c r="AK88" s="4">
        <f t="shared" si="57"/>
        <v>5.8056968839353713</v>
      </c>
      <c r="AL88">
        <v>4.6558942794</v>
      </c>
      <c r="AM88" s="4">
        <f t="shared" si="58"/>
        <v>4.6212105169344806</v>
      </c>
      <c r="AN88">
        <v>2.62507073472</v>
      </c>
      <c r="AO88" s="4">
        <f t="shared" si="59"/>
        <v>2.6140451405403464</v>
      </c>
      <c r="AP88">
        <v>6.4321494602399998</v>
      </c>
      <c r="AQ88" s="4">
        <f t="shared" si="60"/>
        <v>6.3659533855538148</v>
      </c>
      <c r="AR88">
        <v>6.13124938188</v>
      </c>
      <c r="AS88" s="4">
        <f t="shared" si="61"/>
        <v>6.0711018315075131</v>
      </c>
      <c r="AT88">
        <v>1.354170483036</v>
      </c>
      <c r="AU88" s="4">
        <f t="shared" si="62"/>
        <v>1.3512364387205984</v>
      </c>
      <c r="AV88">
        <v>0</v>
      </c>
      <c r="AW88" s="4">
        <f t="shared" si="63"/>
        <v>0</v>
      </c>
      <c r="AX88">
        <v>1.7870434112160001</v>
      </c>
      <c r="AY88" s="4">
        <f t="shared" si="64"/>
        <v>1.7819337725702871</v>
      </c>
      <c r="AZ88">
        <v>1.3762498868999999</v>
      </c>
      <c r="BA88" s="4">
        <f t="shared" si="65"/>
        <v>1.3732193848980923</v>
      </c>
      <c r="BB88">
        <v>2.8808445733200001</v>
      </c>
      <c r="BC88" s="4">
        <f t="shared" si="66"/>
        <v>2.8675657485909967</v>
      </c>
      <c r="BD88">
        <v>2.3856419449800002</v>
      </c>
      <c r="BE88" s="4">
        <f t="shared" si="67"/>
        <v>2.3765358849965637</v>
      </c>
      <c r="BF88">
        <v>2.9660970729599998</v>
      </c>
      <c r="BG88" s="4">
        <f t="shared" si="68"/>
        <v>2.9520207020060449</v>
      </c>
      <c r="BH88">
        <v>2.4759540252719998</v>
      </c>
      <c r="BI88" s="4">
        <f t="shared" si="69"/>
        <v>2.4661454679355823</v>
      </c>
      <c r="BJ88">
        <v>2.37333365262</v>
      </c>
      <c r="BK88" s="4">
        <f t="shared" si="70"/>
        <v>2.3643213124173461</v>
      </c>
      <c r="BL88">
        <v>2.5309504508399998</v>
      </c>
      <c r="BM88" s="4">
        <f t="shared" si="71"/>
        <v>2.520701314544628</v>
      </c>
      <c r="BN88">
        <v>3.4522569572399999</v>
      </c>
      <c r="BO88" s="4">
        <f t="shared" si="72"/>
        <v>3.4331880322819011</v>
      </c>
      <c r="BP88">
        <v>3.5027662571999998</v>
      </c>
      <c r="BQ88" s="4">
        <f t="shared" si="73"/>
        <v>3.4831352628758738</v>
      </c>
      <c r="BR88">
        <v>1.7097889593960001</v>
      </c>
      <c r="BS88" s="4">
        <f t="shared" si="74"/>
        <v>1.7051115541389243</v>
      </c>
      <c r="BT88">
        <v>2.5251557133600002</v>
      </c>
      <c r="BU88" s="4">
        <f t="shared" si="75"/>
        <v>2.514953455157257</v>
      </c>
      <c r="BV88">
        <v>2.61995035176</v>
      </c>
      <c r="BW88" s="4">
        <f t="shared" si="76"/>
        <v>2.6089677280069004</v>
      </c>
      <c r="BX88">
        <v>1.1304549522</v>
      </c>
      <c r="BY88" s="4">
        <f t="shared" si="77"/>
        <v>1.1284102667616744</v>
      </c>
      <c r="BZ88">
        <v>1.678816354824</v>
      </c>
      <c r="CA88" s="4">
        <f t="shared" si="78"/>
        <v>1.6743068758588406</v>
      </c>
      <c r="CB88">
        <v>1.52313622272</v>
      </c>
      <c r="CC88" s="4">
        <f t="shared" si="79"/>
        <v>1.5194243123952613</v>
      </c>
      <c r="CD88">
        <v>2.9072160180000002</v>
      </c>
      <c r="CE88" s="4">
        <f t="shared" si="80"/>
        <v>2.8936929700394947</v>
      </c>
      <c r="CF88">
        <f t="shared" si="81"/>
        <v>3.8746533623377069</v>
      </c>
    </row>
    <row r="89" spans="1:84" x14ac:dyDescent="0.2">
      <c r="A89" s="2">
        <v>42091</v>
      </c>
      <c r="B89">
        <v>2022</v>
      </c>
      <c r="C89">
        <v>3</v>
      </c>
      <c r="D89">
        <v>7.1573215480199996</v>
      </c>
      <c r="E89" s="4">
        <f t="shared" si="41"/>
        <v>7.0753579452331978</v>
      </c>
      <c r="F89">
        <v>6.9358442116500001</v>
      </c>
      <c r="G89" s="4">
        <f t="shared" si="42"/>
        <v>6.8588747157647543</v>
      </c>
      <c r="H89">
        <v>7.2199587247199997</v>
      </c>
      <c r="I89" s="4">
        <f t="shared" si="43"/>
        <v>7.1365542383413434</v>
      </c>
      <c r="J89">
        <v>6.85307870874</v>
      </c>
      <c r="K89" s="4">
        <f t="shared" si="44"/>
        <v>6.7779352082789037</v>
      </c>
      <c r="L89">
        <v>8.517312755639999</v>
      </c>
      <c r="M89" s="4">
        <f t="shared" si="45"/>
        <v>8.4012413691161782</v>
      </c>
      <c r="N89">
        <v>7.3750125502799992</v>
      </c>
      <c r="O89" s="4">
        <f t="shared" si="46"/>
        <v>7.2879872540931396</v>
      </c>
      <c r="P89">
        <v>5.7620309256000004</v>
      </c>
      <c r="Q89" s="4">
        <f t="shared" si="47"/>
        <v>5.7089093249798868</v>
      </c>
      <c r="R89">
        <v>6.5931176374199989</v>
      </c>
      <c r="S89" s="4">
        <f t="shared" si="48"/>
        <v>6.5235669171306254</v>
      </c>
      <c r="T89">
        <v>6.4504018026000001</v>
      </c>
      <c r="U89" s="4">
        <f t="shared" si="49"/>
        <v>6.3838295091360244</v>
      </c>
      <c r="V89">
        <v>6.6041523743399999</v>
      </c>
      <c r="W89" s="4">
        <f t="shared" si="50"/>
        <v>6.5343686486063985</v>
      </c>
      <c r="X89">
        <v>5.9956544203199993</v>
      </c>
      <c r="Y89" s="4">
        <f t="shared" si="51"/>
        <v>5.9381378252353541</v>
      </c>
      <c r="Z89">
        <v>4.9280800436999996</v>
      </c>
      <c r="AA89" s="4">
        <f t="shared" si="52"/>
        <v>4.8892224870326171</v>
      </c>
      <c r="AB89">
        <v>3.973721408819999</v>
      </c>
      <c r="AC89" s="4">
        <f t="shared" si="53"/>
        <v>3.9484566698841359</v>
      </c>
      <c r="AD89">
        <v>5.5690265464199999</v>
      </c>
      <c r="AE89" s="4">
        <f t="shared" si="54"/>
        <v>5.5194040557404307</v>
      </c>
      <c r="AF89">
        <v>4.5013403751299998</v>
      </c>
      <c r="AG89" s="4">
        <f t="shared" si="55"/>
        <v>4.4689210708535594</v>
      </c>
      <c r="AH89">
        <v>2.8855794878999999</v>
      </c>
      <c r="AI89" s="4">
        <f t="shared" si="56"/>
        <v>2.8722569775304168</v>
      </c>
      <c r="AJ89">
        <v>5.8448062562400001</v>
      </c>
      <c r="AK89" s="4">
        <f t="shared" si="57"/>
        <v>5.7901474399632278</v>
      </c>
      <c r="AL89">
        <v>5.1099042897900002</v>
      </c>
      <c r="AM89" s="4">
        <f t="shared" si="58"/>
        <v>5.0681264948286975</v>
      </c>
      <c r="AN89">
        <v>4.1415192463499997</v>
      </c>
      <c r="AO89" s="4">
        <f t="shared" si="59"/>
        <v>4.1140757556813794</v>
      </c>
      <c r="AP89">
        <v>6.4957585144499994</v>
      </c>
      <c r="AQ89" s="4">
        <f t="shared" si="60"/>
        <v>6.42824670856512</v>
      </c>
      <c r="AR89">
        <v>7.0926104453400001</v>
      </c>
      <c r="AS89" s="4">
        <f t="shared" si="61"/>
        <v>7.0121222486530463</v>
      </c>
      <c r="AT89">
        <v>5.3154375453899991</v>
      </c>
      <c r="AU89" s="4">
        <f t="shared" si="62"/>
        <v>5.2702313433116927</v>
      </c>
      <c r="AV89">
        <v>4.5156382442099998</v>
      </c>
      <c r="AW89" s="4">
        <f t="shared" si="63"/>
        <v>4.4830126622058843</v>
      </c>
      <c r="AX89">
        <v>4.6626029561699998</v>
      </c>
      <c r="AY89" s="4">
        <f t="shared" si="64"/>
        <v>4.6278191700469833</v>
      </c>
      <c r="AZ89">
        <v>5.1110868212999998</v>
      </c>
      <c r="BA89" s="4">
        <f t="shared" si="65"/>
        <v>5.0692896877082134</v>
      </c>
      <c r="BB89">
        <v>6.7180490108999997</v>
      </c>
      <c r="BC89" s="4">
        <f t="shared" si="66"/>
        <v>6.645837518879433</v>
      </c>
      <c r="BD89">
        <v>6.6796213244399993</v>
      </c>
      <c r="BE89" s="4">
        <f t="shared" si="67"/>
        <v>6.6082335787793376</v>
      </c>
      <c r="BF89">
        <v>7.7821049304000001</v>
      </c>
      <c r="BG89" s="4">
        <f t="shared" si="68"/>
        <v>7.6852070789635913</v>
      </c>
      <c r="BH89">
        <v>6.26403110535</v>
      </c>
      <c r="BI89" s="4">
        <f t="shared" si="69"/>
        <v>6.201250168247932</v>
      </c>
      <c r="BJ89">
        <v>7.4921167661399988</v>
      </c>
      <c r="BK89" s="4">
        <f t="shared" si="70"/>
        <v>7.4023058643200361</v>
      </c>
      <c r="BL89">
        <v>7.1113952633400004</v>
      </c>
      <c r="BM89" s="4">
        <f t="shared" si="71"/>
        <v>7.0304801551936729</v>
      </c>
      <c r="BN89">
        <v>7.0801958086199992</v>
      </c>
      <c r="BO89" s="4">
        <f t="shared" si="72"/>
        <v>6.9999891323185581</v>
      </c>
      <c r="BP89">
        <v>7.4090963462400001</v>
      </c>
      <c r="BQ89" s="4">
        <f t="shared" si="73"/>
        <v>7.3212648123714121</v>
      </c>
      <c r="BR89">
        <v>5.5378404378899999</v>
      </c>
      <c r="BS89" s="4">
        <f t="shared" si="74"/>
        <v>5.4887721551451527</v>
      </c>
      <c r="BT89">
        <v>6.6795385838399994</v>
      </c>
      <c r="BU89" s="4">
        <f t="shared" si="75"/>
        <v>6.6081526067311875</v>
      </c>
      <c r="BV89">
        <v>7.5256234354799991</v>
      </c>
      <c r="BW89" s="4">
        <f t="shared" si="76"/>
        <v>7.4350074225317657</v>
      </c>
      <c r="BX89">
        <v>5.1501214169999994</v>
      </c>
      <c r="BY89" s="4">
        <f t="shared" si="77"/>
        <v>5.1076834160242521</v>
      </c>
      <c r="BZ89">
        <v>5.9063772011399998</v>
      </c>
      <c r="CA89" s="4">
        <f t="shared" si="78"/>
        <v>5.8505607345125652</v>
      </c>
      <c r="CB89">
        <v>7.1132435843400001</v>
      </c>
      <c r="CC89" s="4">
        <f t="shared" si="79"/>
        <v>7.0322864094757529</v>
      </c>
      <c r="CD89">
        <v>8.1586423152900007</v>
      </c>
      <c r="CE89" s="4">
        <f t="shared" si="80"/>
        <v>8.0521408042038551</v>
      </c>
      <c r="CF89">
        <f t="shared" si="81"/>
        <v>6.1402319958983371</v>
      </c>
    </row>
    <row r="90" spans="1:84" x14ac:dyDescent="0.2">
      <c r="A90" s="2">
        <v>42092</v>
      </c>
      <c r="B90">
        <v>2022</v>
      </c>
      <c r="C90">
        <v>4</v>
      </c>
      <c r="D90">
        <v>25.77684303346</v>
      </c>
      <c r="E90" s="4">
        <f t="shared" si="41"/>
        <v>24.713730014625384</v>
      </c>
      <c r="F90">
        <v>32.115437000900002</v>
      </c>
      <c r="G90" s="4">
        <f t="shared" si="42"/>
        <v>30.465194930885957</v>
      </c>
      <c r="H90">
        <v>34.1689199399</v>
      </c>
      <c r="I90" s="4">
        <f t="shared" si="43"/>
        <v>32.300895796125126</v>
      </c>
      <c r="J90">
        <v>26.735050898600001</v>
      </c>
      <c r="K90" s="4">
        <f t="shared" si="44"/>
        <v>25.591430184118828</v>
      </c>
      <c r="L90">
        <v>34.260349920616001</v>
      </c>
      <c r="M90" s="4">
        <f t="shared" si="45"/>
        <v>32.382315397923115</v>
      </c>
      <c r="N90">
        <v>23.864366747167999</v>
      </c>
      <c r="O90" s="4">
        <f t="shared" si="46"/>
        <v>22.953153946778659</v>
      </c>
      <c r="P90">
        <v>19.705401854548001</v>
      </c>
      <c r="Q90" s="4">
        <f t="shared" si="47"/>
        <v>19.084117274949243</v>
      </c>
      <c r="R90">
        <v>18.980167296891999</v>
      </c>
      <c r="S90" s="4">
        <f t="shared" si="48"/>
        <v>18.403772495903183</v>
      </c>
      <c r="T90">
        <v>18.831709907752</v>
      </c>
      <c r="U90" s="4">
        <f t="shared" si="49"/>
        <v>18.26429663087244</v>
      </c>
      <c r="V90">
        <v>15.22116708872</v>
      </c>
      <c r="W90" s="4">
        <f t="shared" si="50"/>
        <v>14.850472804651629</v>
      </c>
      <c r="X90">
        <v>19.281768800876002</v>
      </c>
      <c r="Y90" s="4">
        <f t="shared" si="51"/>
        <v>18.686910227931303</v>
      </c>
      <c r="Z90">
        <v>12.571355416548</v>
      </c>
      <c r="AA90" s="4">
        <f t="shared" si="52"/>
        <v>12.318493053333329</v>
      </c>
      <c r="AB90">
        <v>7.1255769327139999</v>
      </c>
      <c r="AC90" s="4">
        <f t="shared" si="53"/>
        <v>7.0443387781155584</v>
      </c>
      <c r="AD90">
        <v>19.752803638077999</v>
      </c>
      <c r="AE90" s="4">
        <f t="shared" si="54"/>
        <v>19.128526435574852</v>
      </c>
      <c r="AF90">
        <v>12.382218282504001</v>
      </c>
      <c r="AG90" s="4">
        <f t="shared" si="55"/>
        <v>12.136907355151077</v>
      </c>
      <c r="AH90">
        <v>8.2657400338920013</v>
      </c>
      <c r="AI90" s="4">
        <f t="shared" si="56"/>
        <v>8.1564241005993861</v>
      </c>
      <c r="AJ90">
        <v>25.289365520482001</v>
      </c>
      <c r="AK90" s="4">
        <f t="shared" si="57"/>
        <v>24.266082306996331</v>
      </c>
      <c r="AL90">
        <v>21.757687439072001</v>
      </c>
      <c r="AM90" s="4">
        <f t="shared" si="58"/>
        <v>21.000252298757836</v>
      </c>
      <c r="AN90">
        <v>17.705274305662002</v>
      </c>
      <c r="AO90" s="4">
        <f t="shared" si="59"/>
        <v>17.203711524480028</v>
      </c>
      <c r="AP90">
        <v>27.47590720454</v>
      </c>
      <c r="AQ90" s="4">
        <f t="shared" si="60"/>
        <v>26.268026441800011</v>
      </c>
      <c r="AR90">
        <v>27.051806878497999</v>
      </c>
      <c r="AS90" s="4">
        <f t="shared" si="61"/>
        <v>25.880926469871515</v>
      </c>
      <c r="AT90">
        <v>19.714485057615999</v>
      </c>
      <c r="AU90" s="4">
        <f t="shared" si="62"/>
        <v>19.092627583876855</v>
      </c>
      <c r="AV90">
        <v>13.537282894392</v>
      </c>
      <c r="AW90" s="4">
        <f t="shared" si="63"/>
        <v>13.244070049331521</v>
      </c>
      <c r="AX90">
        <v>17.800126374784</v>
      </c>
      <c r="AY90" s="4">
        <f t="shared" si="64"/>
        <v>17.293175176450749</v>
      </c>
      <c r="AZ90">
        <v>19.311288071276</v>
      </c>
      <c r="BA90" s="4">
        <f t="shared" si="65"/>
        <v>18.714606716121111</v>
      </c>
      <c r="BB90">
        <v>20.706076483878</v>
      </c>
      <c r="BC90" s="4">
        <f t="shared" si="66"/>
        <v>20.02008991850807</v>
      </c>
      <c r="BD90">
        <v>21.196831532337999</v>
      </c>
      <c r="BE90" s="4">
        <f t="shared" si="67"/>
        <v>20.47794246512149</v>
      </c>
      <c r="BF90">
        <v>20.015876848278001</v>
      </c>
      <c r="BG90" s="4">
        <f t="shared" si="68"/>
        <v>19.374860326669314</v>
      </c>
      <c r="BH90">
        <v>18.707414322967999</v>
      </c>
      <c r="BI90" s="4">
        <f t="shared" si="69"/>
        <v>18.147466561926098</v>
      </c>
      <c r="BJ90">
        <v>17.3799789941</v>
      </c>
      <c r="BK90" s="4">
        <f t="shared" si="70"/>
        <v>16.896677122363428</v>
      </c>
      <c r="BL90">
        <v>20.879660971100002</v>
      </c>
      <c r="BM90" s="4">
        <f t="shared" si="71"/>
        <v>20.182124583471079</v>
      </c>
      <c r="BN90">
        <v>25.150208562576001</v>
      </c>
      <c r="BO90" s="4">
        <f t="shared" si="72"/>
        <v>24.138155777390285</v>
      </c>
      <c r="BP90">
        <v>26.121373242036</v>
      </c>
      <c r="BQ90" s="4">
        <f t="shared" si="73"/>
        <v>25.029651417956394</v>
      </c>
      <c r="BR90">
        <v>19.526834445110001</v>
      </c>
      <c r="BS90" s="4">
        <f t="shared" si="74"/>
        <v>18.916758823595224</v>
      </c>
      <c r="BT90">
        <v>18.888602873976001</v>
      </c>
      <c r="BU90" s="4">
        <f t="shared" si="75"/>
        <v>18.317755964326764</v>
      </c>
      <c r="BV90">
        <v>17.553800506502</v>
      </c>
      <c r="BW90" s="4">
        <f t="shared" si="76"/>
        <v>17.060783046946685</v>
      </c>
      <c r="BX90">
        <v>12.765131622594</v>
      </c>
      <c r="BY90" s="4">
        <f t="shared" si="77"/>
        <v>12.50441388604656</v>
      </c>
      <c r="BZ90">
        <v>15.253664985369999</v>
      </c>
      <c r="CA90" s="4">
        <f t="shared" si="78"/>
        <v>14.881386112592557</v>
      </c>
      <c r="CB90">
        <v>19.650673727021999</v>
      </c>
      <c r="CC90" s="4">
        <f t="shared" si="79"/>
        <v>19.032835362340602</v>
      </c>
      <c r="CD90">
        <v>24.958036424696001</v>
      </c>
      <c r="CE90" s="4">
        <f t="shared" si="80"/>
        <v>23.961390693213673</v>
      </c>
      <c r="CF90">
        <f t="shared" si="81"/>
        <v>19.663681900679659</v>
      </c>
    </row>
    <row r="91" spans="1:84" x14ac:dyDescent="0.2">
      <c r="A91" s="2">
        <v>42093</v>
      </c>
      <c r="B91">
        <v>2022</v>
      </c>
      <c r="C91">
        <v>5</v>
      </c>
      <c r="D91">
        <v>63.555211022819996</v>
      </c>
      <c r="E91" s="4">
        <f t="shared" si="41"/>
        <v>57.092387265771706</v>
      </c>
      <c r="F91">
        <v>63.592985092619998</v>
      </c>
      <c r="G91" s="4">
        <f t="shared" si="42"/>
        <v>57.122476687835686</v>
      </c>
      <c r="H91">
        <v>66.605827471490002</v>
      </c>
      <c r="I91" s="4">
        <f t="shared" si="43"/>
        <v>59.507689466430975</v>
      </c>
      <c r="J91">
        <v>65.525169461179999</v>
      </c>
      <c r="K91" s="4">
        <f t="shared" si="44"/>
        <v>58.65549292851383</v>
      </c>
      <c r="L91">
        <v>64.394395633599999</v>
      </c>
      <c r="M91" s="4">
        <f t="shared" si="45"/>
        <v>57.759774531173441</v>
      </c>
      <c r="N91">
        <v>64.382121434504995</v>
      </c>
      <c r="O91" s="4">
        <f t="shared" si="46"/>
        <v>57.750029337853235</v>
      </c>
      <c r="P91">
        <v>77.308952407920003</v>
      </c>
      <c r="Q91" s="4">
        <f t="shared" si="47"/>
        <v>67.746273812063947</v>
      </c>
      <c r="R91">
        <v>64.297753732865004</v>
      </c>
      <c r="S91" s="4">
        <f t="shared" si="48"/>
        <v>57.683031916717553</v>
      </c>
      <c r="T91">
        <v>68.590861679919996</v>
      </c>
      <c r="U91" s="4">
        <f t="shared" si="49"/>
        <v>61.063331590329724</v>
      </c>
      <c r="V91">
        <v>69.241641080465001</v>
      </c>
      <c r="W91" s="4">
        <f t="shared" si="50"/>
        <v>61.570593305239505</v>
      </c>
      <c r="X91">
        <v>62.860257330000003</v>
      </c>
      <c r="Y91" s="4">
        <f t="shared" si="51"/>
        <v>56.537998207449888</v>
      </c>
      <c r="Z91">
        <v>61.897068347474999</v>
      </c>
      <c r="AA91" s="4">
        <f t="shared" si="52"/>
        <v>55.767073035455816</v>
      </c>
      <c r="AB91">
        <v>64.043348154140006</v>
      </c>
      <c r="AC91" s="4">
        <f t="shared" si="53"/>
        <v>57.480867445672182</v>
      </c>
      <c r="AD91">
        <v>59.905067366730002</v>
      </c>
      <c r="AE91" s="4">
        <f t="shared" si="54"/>
        <v>54.163280012790068</v>
      </c>
      <c r="AF91">
        <v>63.667962473065003</v>
      </c>
      <c r="AG91" s="4">
        <f t="shared" si="55"/>
        <v>57.182187360310415</v>
      </c>
      <c r="AH91">
        <v>67.094205351474997</v>
      </c>
      <c r="AI91" s="4">
        <f t="shared" si="56"/>
        <v>59.891593524681568</v>
      </c>
      <c r="AJ91">
        <v>63.201994278039997</v>
      </c>
      <c r="AK91" s="4">
        <f t="shared" si="57"/>
        <v>56.810806948885755</v>
      </c>
      <c r="AL91">
        <v>72.324958719124993</v>
      </c>
      <c r="AM91" s="4">
        <f t="shared" si="58"/>
        <v>63.95551927316798</v>
      </c>
      <c r="AN91">
        <v>81.611902115139998</v>
      </c>
      <c r="AO91" s="4">
        <f t="shared" si="59"/>
        <v>70.955098008178084</v>
      </c>
      <c r="AP91">
        <v>73.545935084009997</v>
      </c>
      <c r="AQ91" s="4">
        <f t="shared" si="60"/>
        <v>64.891527776199737</v>
      </c>
      <c r="AR91">
        <v>83.445571778744991</v>
      </c>
      <c r="AS91" s="4">
        <f t="shared" si="61"/>
        <v>72.3045102595743</v>
      </c>
      <c r="AT91">
        <v>101.96161014485</v>
      </c>
      <c r="AU91" s="4">
        <f t="shared" si="62"/>
        <v>85.327738235521394</v>
      </c>
      <c r="AV91">
        <v>84.066064068554994</v>
      </c>
      <c r="AW91" s="4">
        <f t="shared" si="63"/>
        <v>72.758699063789564</v>
      </c>
      <c r="AX91">
        <v>94.818435694979996</v>
      </c>
      <c r="AY91" s="4">
        <f t="shared" si="64"/>
        <v>80.433578498751118</v>
      </c>
      <c r="AZ91">
        <v>104.95568759339</v>
      </c>
      <c r="BA91" s="4">
        <f t="shared" si="65"/>
        <v>87.330573420267939</v>
      </c>
      <c r="BB91">
        <v>83.686487373470001</v>
      </c>
      <c r="BC91" s="4">
        <f t="shared" si="66"/>
        <v>72.481002303214069</v>
      </c>
      <c r="BD91">
        <v>87.207513254800006</v>
      </c>
      <c r="BE91" s="4">
        <f t="shared" si="67"/>
        <v>75.039272665862214</v>
      </c>
      <c r="BF91">
        <v>90.660710650835</v>
      </c>
      <c r="BG91" s="4">
        <f t="shared" si="68"/>
        <v>77.509727521691929</v>
      </c>
      <c r="BH91">
        <v>91.219742611079994</v>
      </c>
      <c r="BI91" s="4">
        <f t="shared" si="69"/>
        <v>77.906076303829295</v>
      </c>
      <c r="BJ91">
        <v>89.427212155825003</v>
      </c>
      <c r="BK91" s="4">
        <f t="shared" si="70"/>
        <v>76.631650117484298</v>
      </c>
      <c r="BL91">
        <v>95.612135591984995</v>
      </c>
      <c r="BM91" s="4">
        <f t="shared" si="71"/>
        <v>80.985446836048794</v>
      </c>
      <c r="BN91">
        <v>97.29148399508</v>
      </c>
      <c r="BO91" s="4">
        <f t="shared" si="72"/>
        <v>82.146471422336148</v>
      </c>
      <c r="BP91">
        <v>99.047124745055001</v>
      </c>
      <c r="BQ91" s="4">
        <f t="shared" si="73"/>
        <v>83.35059207263501</v>
      </c>
      <c r="BR91">
        <v>101.13661947908</v>
      </c>
      <c r="BS91" s="4">
        <f t="shared" si="74"/>
        <v>84.770834199630045</v>
      </c>
      <c r="BT91">
        <v>82.627259037719995</v>
      </c>
      <c r="BU91" s="4">
        <f t="shared" si="75"/>
        <v>71.703636739981619</v>
      </c>
      <c r="BV91">
        <v>78.394109010509993</v>
      </c>
      <c r="BW91" s="4">
        <f t="shared" si="76"/>
        <v>68.561090886427237</v>
      </c>
      <c r="BX91">
        <v>75.235519776825001</v>
      </c>
      <c r="BY91" s="4">
        <f t="shared" si="77"/>
        <v>66.178906279082554</v>
      </c>
      <c r="BZ91">
        <v>89.463540109854989</v>
      </c>
      <c r="CA91" s="4">
        <f t="shared" si="78"/>
        <v>76.657580095474771</v>
      </c>
      <c r="CB91">
        <v>112.574669443955</v>
      </c>
      <c r="CC91" s="4">
        <f t="shared" si="79"/>
        <v>92.297779523289819</v>
      </c>
      <c r="CD91">
        <v>115.03953184276</v>
      </c>
      <c r="CE91" s="4">
        <f t="shared" si="80"/>
        <v>93.864981624197767</v>
      </c>
      <c r="CF91">
        <f t="shared" si="81"/>
        <v>68.982297291252209</v>
      </c>
    </row>
    <row r="92" spans="1:84" x14ac:dyDescent="0.2">
      <c r="A92" s="2">
        <v>42094</v>
      </c>
      <c r="B92">
        <v>2022</v>
      </c>
      <c r="C92">
        <v>6</v>
      </c>
      <c r="D92">
        <v>349.754507513541</v>
      </c>
      <c r="E92" s="4">
        <f t="shared" si="41"/>
        <v>159.97545075135412</v>
      </c>
      <c r="F92">
        <v>321.240954524958</v>
      </c>
      <c r="G92" s="4">
        <f t="shared" si="42"/>
        <v>157.12409545249579</v>
      </c>
      <c r="H92">
        <v>320.12670382535703</v>
      </c>
      <c r="I92" s="4">
        <f t="shared" si="43"/>
        <v>157.0126703825357</v>
      </c>
      <c r="J92">
        <v>349.04524325888099</v>
      </c>
      <c r="K92" s="4">
        <f t="shared" si="44"/>
        <v>159.9045243258881</v>
      </c>
      <c r="L92">
        <v>387.02470281040797</v>
      </c>
      <c r="M92" s="4">
        <f t="shared" si="45"/>
        <v>163.7024702810408</v>
      </c>
      <c r="N92">
        <v>370.90638805283697</v>
      </c>
      <c r="O92" s="4">
        <f t="shared" si="46"/>
        <v>162.0906388052837</v>
      </c>
      <c r="P92">
        <v>226.902511530162</v>
      </c>
      <c r="Q92" s="4">
        <f t="shared" si="47"/>
        <v>144.52691194824951</v>
      </c>
      <c r="R92">
        <v>317.06937684083999</v>
      </c>
      <c r="S92" s="4">
        <f t="shared" si="48"/>
        <v>156.70693768408401</v>
      </c>
      <c r="T92">
        <v>274.65346525967999</v>
      </c>
      <c r="U92" s="4">
        <f t="shared" si="49"/>
        <v>152.46534652596802</v>
      </c>
      <c r="V92">
        <v>253.70312435001301</v>
      </c>
      <c r="W92" s="4">
        <f t="shared" si="50"/>
        <v>150.3703124350013</v>
      </c>
      <c r="X92">
        <v>338.67972289136702</v>
      </c>
      <c r="Y92" s="4">
        <f t="shared" si="51"/>
        <v>158.8679722891367</v>
      </c>
      <c r="Z92">
        <v>294.07714656325197</v>
      </c>
      <c r="AA92" s="4">
        <f t="shared" si="52"/>
        <v>154.4077146563252</v>
      </c>
      <c r="AB92">
        <v>263.92146032214299</v>
      </c>
      <c r="AC92" s="4">
        <f t="shared" si="53"/>
        <v>151.3921460322143</v>
      </c>
      <c r="AD92">
        <v>317.34958922873699</v>
      </c>
      <c r="AE92" s="4">
        <f t="shared" si="54"/>
        <v>156.73495892287372</v>
      </c>
      <c r="AF92">
        <v>277.96182849532499</v>
      </c>
      <c r="AG92" s="4">
        <f t="shared" si="55"/>
        <v>152.7961828495325</v>
      </c>
      <c r="AH92">
        <v>274.08947127677698</v>
      </c>
      <c r="AI92" s="4">
        <f t="shared" si="56"/>
        <v>152.40894712767769</v>
      </c>
      <c r="AJ92">
        <v>298.13402674446297</v>
      </c>
      <c r="AK92" s="4">
        <f t="shared" si="57"/>
        <v>154.81340267444631</v>
      </c>
      <c r="AL92">
        <v>252.466883136039</v>
      </c>
      <c r="AM92" s="4">
        <f t="shared" si="58"/>
        <v>150.2466883136039</v>
      </c>
      <c r="AN92">
        <v>240.11334543619799</v>
      </c>
      <c r="AO92" s="4">
        <f t="shared" si="59"/>
        <v>147.86627558569728</v>
      </c>
      <c r="AP92">
        <v>281.07014879825698</v>
      </c>
      <c r="AQ92" s="4">
        <f t="shared" si="60"/>
        <v>153.1070148798257</v>
      </c>
      <c r="AR92">
        <v>239.18992738270501</v>
      </c>
      <c r="AS92" s="4">
        <f t="shared" si="61"/>
        <v>147.65101320455508</v>
      </c>
      <c r="AT92">
        <v>241.08188673894</v>
      </c>
      <c r="AU92" s="4">
        <f t="shared" si="62"/>
        <v>148.08912495716862</v>
      </c>
      <c r="AV92">
        <v>252.93788501424299</v>
      </c>
      <c r="AW92" s="4">
        <f t="shared" si="63"/>
        <v>150.2937885014243</v>
      </c>
      <c r="AX92">
        <v>230.25528579787499</v>
      </c>
      <c r="AY92" s="4">
        <f t="shared" si="64"/>
        <v>145.42729117729721</v>
      </c>
      <c r="AZ92">
        <v>236.70683292929399</v>
      </c>
      <c r="BA92" s="4">
        <f t="shared" si="65"/>
        <v>147.05863332062731</v>
      </c>
      <c r="BB92">
        <v>226.24461702066901</v>
      </c>
      <c r="BC92" s="4">
        <f t="shared" si="66"/>
        <v>144.3460142513423</v>
      </c>
      <c r="BD92">
        <v>209.947093492812</v>
      </c>
      <c r="BE92" s="4">
        <f t="shared" si="67"/>
        <v>139.42264218708473</v>
      </c>
      <c r="BF92">
        <v>239.03353965020401</v>
      </c>
      <c r="BG92" s="4">
        <f t="shared" si="68"/>
        <v>147.61428672587496</v>
      </c>
      <c r="BH92">
        <v>224.30259688188301</v>
      </c>
      <c r="BI92" s="4">
        <f t="shared" si="69"/>
        <v>143.80394893315261</v>
      </c>
      <c r="BJ92">
        <v>227.99215362810901</v>
      </c>
      <c r="BK92" s="4">
        <f t="shared" si="70"/>
        <v>144.82347824253583</v>
      </c>
      <c r="BL92">
        <v>227.96647076634599</v>
      </c>
      <c r="BM92" s="4">
        <f t="shared" si="71"/>
        <v>144.81653189648475</v>
      </c>
      <c r="BN92">
        <v>207.21403688820899</v>
      </c>
      <c r="BO92" s="4">
        <f t="shared" si="72"/>
        <v>138.51378555459613</v>
      </c>
      <c r="BP92">
        <v>209.77468967676</v>
      </c>
      <c r="BQ92" s="4">
        <f t="shared" si="73"/>
        <v>139.36601699039045</v>
      </c>
      <c r="BR92">
        <v>254.28039201949801</v>
      </c>
      <c r="BS92" s="4">
        <f t="shared" si="74"/>
        <v>150.42803920194979</v>
      </c>
      <c r="BT92">
        <v>222.58921173235501</v>
      </c>
      <c r="BU92" s="4">
        <f t="shared" si="75"/>
        <v>143.3156802449451</v>
      </c>
      <c r="BV92">
        <v>245.18779511787599</v>
      </c>
      <c r="BW92" s="4">
        <f t="shared" si="76"/>
        <v>149.00050731825112</v>
      </c>
      <c r="BX92">
        <v>250.758316058172</v>
      </c>
      <c r="BY92" s="4">
        <f t="shared" si="77"/>
        <v>150.0758316058172</v>
      </c>
      <c r="BZ92">
        <v>231.36416794728899</v>
      </c>
      <c r="CA92" s="4">
        <f t="shared" si="78"/>
        <v>145.71716281138282</v>
      </c>
      <c r="CB92">
        <v>242.43452895195301</v>
      </c>
      <c r="CC92" s="4">
        <f t="shared" si="79"/>
        <v>148.39532762690445</v>
      </c>
      <c r="CD92">
        <v>231.15860041981199</v>
      </c>
      <c r="CE92" s="4">
        <f t="shared" si="80"/>
        <v>145.66372274293792</v>
      </c>
      <c r="CF92">
        <f t="shared" si="81"/>
        <v>150.27565092976886</v>
      </c>
    </row>
    <row r="93" spans="1:84" x14ac:dyDescent="0.2">
      <c r="A93" s="2">
        <v>42095</v>
      </c>
      <c r="B93">
        <v>2022</v>
      </c>
      <c r="C93">
        <v>7</v>
      </c>
      <c r="D93">
        <v>310.64097346523499</v>
      </c>
      <c r="E93" s="4">
        <f t="shared" si="41"/>
        <v>156.06409734652351</v>
      </c>
      <c r="F93">
        <v>309.69620004701488</v>
      </c>
      <c r="G93" s="4">
        <f t="shared" si="42"/>
        <v>155.96962000470148</v>
      </c>
      <c r="H93">
        <v>305.15939398412502</v>
      </c>
      <c r="I93" s="4">
        <f t="shared" si="43"/>
        <v>155.51593939841251</v>
      </c>
      <c r="J93">
        <v>325.72203363869988</v>
      </c>
      <c r="K93" s="4">
        <f t="shared" si="44"/>
        <v>157.57220336386999</v>
      </c>
      <c r="L93">
        <v>321.31001573520001</v>
      </c>
      <c r="M93" s="4">
        <f t="shared" si="45"/>
        <v>157.13100157352</v>
      </c>
      <c r="N93">
        <v>306.226132985275</v>
      </c>
      <c r="O93" s="4">
        <f t="shared" si="46"/>
        <v>155.62261329852751</v>
      </c>
      <c r="P93">
        <v>289.95701408914999</v>
      </c>
      <c r="Q93" s="4">
        <f t="shared" si="47"/>
        <v>153.99570140891501</v>
      </c>
      <c r="R93">
        <v>323.53713736626997</v>
      </c>
      <c r="S93" s="4">
        <f t="shared" si="48"/>
        <v>157.35371373662701</v>
      </c>
      <c r="T93">
        <v>280.53846390046499</v>
      </c>
      <c r="U93" s="4">
        <f t="shared" si="49"/>
        <v>153.05384639004649</v>
      </c>
      <c r="V93">
        <v>271.014535257425</v>
      </c>
      <c r="W93" s="4">
        <f t="shared" si="50"/>
        <v>152.1014535257425</v>
      </c>
      <c r="X93">
        <v>300.39179017556501</v>
      </c>
      <c r="Y93" s="4">
        <f t="shared" si="51"/>
        <v>155.03917901755651</v>
      </c>
      <c r="Z93">
        <v>250.28128499511499</v>
      </c>
      <c r="AA93" s="4">
        <f t="shared" si="52"/>
        <v>150.0281284995115</v>
      </c>
      <c r="AB93">
        <v>222.98256511426001</v>
      </c>
      <c r="AC93" s="4">
        <f t="shared" si="53"/>
        <v>143.42860616236365</v>
      </c>
      <c r="AD93">
        <v>291.85747885955999</v>
      </c>
      <c r="AE93" s="4">
        <f t="shared" si="54"/>
        <v>154.185747885956</v>
      </c>
      <c r="AF93">
        <v>235.96727583537</v>
      </c>
      <c r="AG93" s="4">
        <f t="shared" si="55"/>
        <v>146.87838741110505</v>
      </c>
      <c r="AH93">
        <v>231.640767675635</v>
      </c>
      <c r="AI93" s="4">
        <f t="shared" si="56"/>
        <v>145.78885527666299</v>
      </c>
      <c r="AJ93">
        <v>286.87954647287501</v>
      </c>
      <c r="AK93" s="4">
        <f t="shared" si="57"/>
        <v>153.68795464728751</v>
      </c>
      <c r="AL93">
        <v>247.04646692950001</v>
      </c>
      <c r="AM93" s="4">
        <f t="shared" si="58"/>
        <v>149.39533601374231</v>
      </c>
      <c r="AN93">
        <v>250.00648747525</v>
      </c>
      <c r="AO93" s="4">
        <f t="shared" si="59"/>
        <v>150.00064874752499</v>
      </c>
      <c r="AP93">
        <v>288.71709758805002</v>
      </c>
      <c r="AQ93" s="4">
        <f t="shared" si="60"/>
        <v>153.871709758805</v>
      </c>
      <c r="AR93">
        <v>257.85049249377499</v>
      </c>
      <c r="AS93" s="4">
        <f t="shared" si="61"/>
        <v>150.78504924937749</v>
      </c>
      <c r="AT93">
        <v>279.57480928515002</v>
      </c>
      <c r="AU93" s="4">
        <f t="shared" si="62"/>
        <v>152.957480928515</v>
      </c>
      <c r="AV93">
        <v>243.64045921005999</v>
      </c>
      <c r="AW93" s="4">
        <f t="shared" si="63"/>
        <v>148.66338182751775</v>
      </c>
      <c r="AX93">
        <v>253.31116931398</v>
      </c>
      <c r="AY93" s="4">
        <f t="shared" si="64"/>
        <v>150.33111693139801</v>
      </c>
      <c r="AZ93">
        <v>269.60359583601502</v>
      </c>
      <c r="BA93" s="4">
        <f t="shared" si="65"/>
        <v>151.9603595836015</v>
      </c>
      <c r="BB93">
        <v>290.35350401617001</v>
      </c>
      <c r="BC93" s="4">
        <f t="shared" si="66"/>
        <v>154.03535040161699</v>
      </c>
      <c r="BD93">
        <v>287.671481363255</v>
      </c>
      <c r="BE93" s="4">
        <f t="shared" si="67"/>
        <v>153.76714813632549</v>
      </c>
      <c r="BF93">
        <v>312.94836153105001</v>
      </c>
      <c r="BG93" s="4">
        <f t="shared" si="68"/>
        <v>156.294836153105</v>
      </c>
      <c r="BH93">
        <v>298.03943733888002</v>
      </c>
      <c r="BI93" s="4">
        <f t="shared" si="69"/>
        <v>154.80394373388799</v>
      </c>
      <c r="BJ93">
        <v>281.27449935976</v>
      </c>
      <c r="BK93" s="4">
        <f t="shared" si="70"/>
        <v>153.12744993597602</v>
      </c>
      <c r="BL93">
        <v>294.52790466638999</v>
      </c>
      <c r="BM93" s="4">
        <f t="shared" si="71"/>
        <v>154.45279046663899</v>
      </c>
      <c r="BN93">
        <v>304.82215843161498</v>
      </c>
      <c r="BO93" s="4">
        <f t="shared" si="72"/>
        <v>155.4822158431615</v>
      </c>
      <c r="BP93">
        <v>290.76007716882998</v>
      </c>
      <c r="BQ93" s="4">
        <f t="shared" si="73"/>
        <v>154.076007716883</v>
      </c>
      <c r="BR93">
        <v>295.69099908900489</v>
      </c>
      <c r="BS93" s="4">
        <f t="shared" si="74"/>
        <v>154.56909990890048</v>
      </c>
      <c r="BT93">
        <v>280.74671219353502</v>
      </c>
      <c r="BU93" s="4">
        <f t="shared" si="75"/>
        <v>153.07467121935349</v>
      </c>
      <c r="BV93">
        <v>269.50771338431502</v>
      </c>
      <c r="BW93" s="4">
        <f t="shared" si="76"/>
        <v>151.95077133843151</v>
      </c>
      <c r="BX93">
        <v>240.94550630911999</v>
      </c>
      <c r="BY93" s="4">
        <f t="shared" si="77"/>
        <v>148.05792709222692</v>
      </c>
      <c r="BZ93">
        <v>273.724600357805</v>
      </c>
      <c r="CA93" s="4">
        <f t="shared" si="78"/>
        <v>152.37246003578051</v>
      </c>
      <c r="CB93">
        <v>297.30268059969501</v>
      </c>
      <c r="CC93" s="4">
        <f t="shared" si="79"/>
        <v>154.73026805996949</v>
      </c>
      <c r="CD93">
        <v>282.82218333285999</v>
      </c>
      <c r="CE93" s="4">
        <f t="shared" si="80"/>
        <v>153.28221833328601</v>
      </c>
      <c r="CF93">
        <f t="shared" si="81"/>
        <v>153.01925489306899</v>
      </c>
    </row>
    <row r="94" spans="1:84" x14ac:dyDescent="0.2">
      <c r="A94" s="2">
        <v>42096</v>
      </c>
      <c r="B94">
        <v>2022</v>
      </c>
      <c r="C94">
        <v>8</v>
      </c>
      <c r="D94">
        <v>357.03951379728011</v>
      </c>
      <c r="E94" s="4">
        <f t="shared" si="41"/>
        <v>160.70395137972801</v>
      </c>
      <c r="F94">
        <v>356.275647993522</v>
      </c>
      <c r="G94" s="4">
        <f t="shared" si="42"/>
        <v>160.6275647993522</v>
      </c>
      <c r="H94">
        <v>346.19575393481398</v>
      </c>
      <c r="I94" s="4">
        <f t="shared" si="43"/>
        <v>159.6195753934814</v>
      </c>
      <c r="J94">
        <v>366.80931714388203</v>
      </c>
      <c r="K94" s="4">
        <f t="shared" si="44"/>
        <v>161.68093171438821</v>
      </c>
      <c r="L94">
        <v>373.34401278314402</v>
      </c>
      <c r="M94" s="4">
        <f t="shared" si="45"/>
        <v>162.3344012783144</v>
      </c>
      <c r="N94">
        <v>351.327249230978</v>
      </c>
      <c r="O94" s="4">
        <f t="shared" si="46"/>
        <v>160.13272492309781</v>
      </c>
      <c r="P94">
        <v>303.70066089898199</v>
      </c>
      <c r="Q94" s="4">
        <f t="shared" si="47"/>
        <v>155.37006608989822</v>
      </c>
      <c r="R94">
        <v>350.384272853384</v>
      </c>
      <c r="S94" s="4">
        <f t="shared" si="48"/>
        <v>160.0384272853384</v>
      </c>
      <c r="T94">
        <v>308.829444780232</v>
      </c>
      <c r="U94" s="4">
        <f t="shared" si="49"/>
        <v>155.88294447802321</v>
      </c>
      <c r="V94">
        <v>317.64965973303401</v>
      </c>
      <c r="W94" s="4">
        <f t="shared" si="50"/>
        <v>156.76496597330339</v>
      </c>
      <c r="X94">
        <v>343.16174086143798</v>
      </c>
      <c r="Y94" s="4">
        <f t="shared" si="51"/>
        <v>159.3161740861438</v>
      </c>
      <c r="Z94">
        <v>302.09262965822001</v>
      </c>
      <c r="AA94" s="4">
        <f t="shared" si="52"/>
        <v>155.20926296582201</v>
      </c>
      <c r="AB94">
        <v>299.19607788725</v>
      </c>
      <c r="AC94" s="4">
        <f t="shared" si="53"/>
        <v>154.91960778872499</v>
      </c>
      <c r="AD94">
        <v>341.85318166058602</v>
      </c>
      <c r="AE94" s="4">
        <f t="shared" si="54"/>
        <v>159.18531816605861</v>
      </c>
      <c r="AF94">
        <v>293.37685394721598</v>
      </c>
      <c r="AG94" s="4">
        <f t="shared" si="55"/>
        <v>154.3376853947216</v>
      </c>
      <c r="AH94">
        <v>296.32797104125399</v>
      </c>
      <c r="AI94" s="4">
        <f t="shared" si="56"/>
        <v>154.63279710412542</v>
      </c>
      <c r="AJ94">
        <v>338.71410501809601</v>
      </c>
      <c r="AK94" s="4">
        <f t="shared" si="57"/>
        <v>158.87141050180961</v>
      </c>
      <c r="AL94">
        <v>305.13817437345199</v>
      </c>
      <c r="AM94" s="4">
        <f t="shared" si="58"/>
        <v>155.51381743734521</v>
      </c>
      <c r="AN94">
        <v>303.21422228759002</v>
      </c>
      <c r="AO94" s="4">
        <f t="shared" si="59"/>
        <v>155.32142222875899</v>
      </c>
      <c r="AP94">
        <v>332.55343351523999</v>
      </c>
      <c r="AQ94" s="4">
        <f t="shared" si="60"/>
        <v>158.255343351524</v>
      </c>
      <c r="AR94">
        <v>306.69558768721799</v>
      </c>
      <c r="AS94" s="4">
        <f t="shared" si="61"/>
        <v>155.6695587687218</v>
      </c>
      <c r="AT94">
        <v>331.67262081856802</v>
      </c>
      <c r="AU94" s="4">
        <f t="shared" si="62"/>
        <v>158.16726208185679</v>
      </c>
      <c r="AV94">
        <v>309.867783863726</v>
      </c>
      <c r="AW94" s="4">
        <f t="shared" si="63"/>
        <v>155.98677838637261</v>
      </c>
      <c r="AX94">
        <v>307.60334870745203</v>
      </c>
      <c r="AY94" s="4">
        <f t="shared" si="64"/>
        <v>155.7603348707452</v>
      </c>
      <c r="AZ94">
        <v>333.00916869035001</v>
      </c>
      <c r="BA94" s="4">
        <f t="shared" si="65"/>
        <v>158.30091686903501</v>
      </c>
      <c r="BB94">
        <v>344.71226358592799</v>
      </c>
      <c r="BC94" s="4">
        <f t="shared" si="66"/>
        <v>159.47122635859279</v>
      </c>
      <c r="BD94">
        <v>344.03992721163399</v>
      </c>
      <c r="BE94" s="4">
        <f t="shared" si="67"/>
        <v>159.40399272116341</v>
      </c>
      <c r="BF94">
        <v>375.77208506896801</v>
      </c>
      <c r="BG94" s="4">
        <f t="shared" si="68"/>
        <v>162.5772085068968</v>
      </c>
      <c r="BH94">
        <v>371.10938870438798</v>
      </c>
      <c r="BI94" s="4">
        <f t="shared" si="69"/>
        <v>162.11093887043882</v>
      </c>
      <c r="BJ94">
        <v>352.68450099204802</v>
      </c>
      <c r="BK94" s="4">
        <f t="shared" si="70"/>
        <v>160.26845009920481</v>
      </c>
      <c r="BL94">
        <v>369.20587115630599</v>
      </c>
      <c r="BM94" s="4">
        <f t="shared" si="71"/>
        <v>161.92058711563061</v>
      </c>
      <c r="BN94">
        <v>368.408685622002</v>
      </c>
      <c r="BO94" s="4">
        <f t="shared" si="72"/>
        <v>161.8408685622002</v>
      </c>
      <c r="BP94">
        <v>352.98076235957598</v>
      </c>
      <c r="BQ94" s="4">
        <f t="shared" si="73"/>
        <v>160.29807623595761</v>
      </c>
      <c r="BR94">
        <v>354.55347413514397</v>
      </c>
      <c r="BS94" s="4">
        <f t="shared" si="74"/>
        <v>160.4553474135144</v>
      </c>
      <c r="BT94">
        <v>315.03037329711401</v>
      </c>
      <c r="BU94" s="4">
        <f t="shared" si="75"/>
        <v>156.50303732971139</v>
      </c>
      <c r="BV94">
        <v>322.34274842000002</v>
      </c>
      <c r="BW94" s="4">
        <f t="shared" si="76"/>
        <v>157.23427484199999</v>
      </c>
      <c r="BX94">
        <v>314.22192333881401</v>
      </c>
      <c r="BY94" s="4">
        <f t="shared" si="77"/>
        <v>156.42219233388141</v>
      </c>
      <c r="BZ94">
        <v>338.365261199504</v>
      </c>
      <c r="CA94" s="4">
        <f t="shared" si="78"/>
        <v>158.83652611995041</v>
      </c>
      <c r="CB94">
        <v>342.974248884524</v>
      </c>
      <c r="CC94" s="4">
        <f t="shared" si="79"/>
        <v>159.29742488845241</v>
      </c>
      <c r="CD94">
        <v>331.02149729212402</v>
      </c>
      <c r="CE94" s="4">
        <f t="shared" si="80"/>
        <v>158.10214972921241</v>
      </c>
      <c r="CF94">
        <f t="shared" si="81"/>
        <v>158.39890566235078</v>
      </c>
    </row>
    <row r="95" spans="1:84" x14ac:dyDescent="0.2">
      <c r="A95" s="2">
        <v>42097</v>
      </c>
      <c r="B95">
        <v>2022</v>
      </c>
      <c r="C95">
        <v>9</v>
      </c>
      <c r="D95">
        <v>326.54602212184</v>
      </c>
      <c r="E95" s="4">
        <f t="shared" si="41"/>
        <v>157.65460221218399</v>
      </c>
      <c r="F95">
        <v>331.33406464529997</v>
      </c>
      <c r="G95" s="4">
        <f t="shared" si="42"/>
        <v>158.13340646453</v>
      </c>
      <c r="H95">
        <v>333.72726026696</v>
      </c>
      <c r="I95" s="4">
        <f t="shared" si="43"/>
        <v>158.372726026696</v>
      </c>
      <c r="J95">
        <v>330.65581258124001</v>
      </c>
      <c r="K95" s="4">
        <f t="shared" si="44"/>
        <v>158.06558125812401</v>
      </c>
      <c r="L95">
        <v>312.89850271109998</v>
      </c>
      <c r="M95" s="4">
        <f t="shared" si="45"/>
        <v>156.28985027111</v>
      </c>
      <c r="N95">
        <v>327.30438038993998</v>
      </c>
      <c r="O95" s="4">
        <f t="shared" si="46"/>
        <v>157.73043803899401</v>
      </c>
      <c r="P95">
        <v>295.15687586770002</v>
      </c>
      <c r="Q95" s="4">
        <f t="shared" si="47"/>
        <v>154.51568758677001</v>
      </c>
      <c r="R95">
        <v>338.55909052278002</v>
      </c>
      <c r="S95" s="4">
        <f t="shared" si="48"/>
        <v>158.85590905227801</v>
      </c>
      <c r="T95">
        <v>323.38972776131999</v>
      </c>
      <c r="U95" s="4">
        <f t="shared" si="49"/>
        <v>157.33897277613201</v>
      </c>
      <c r="V95">
        <v>320.67039729162002</v>
      </c>
      <c r="W95" s="4">
        <f t="shared" si="50"/>
        <v>157.06703972916199</v>
      </c>
      <c r="X95">
        <v>330.42731050420002</v>
      </c>
      <c r="Y95" s="4">
        <f t="shared" si="51"/>
        <v>158.04273105042</v>
      </c>
      <c r="Z95">
        <v>301.99450278912002</v>
      </c>
      <c r="AA95" s="4">
        <f t="shared" si="52"/>
        <v>155.199450278912</v>
      </c>
      <c r="AB95">
        <v>296.54972086958003</v>
      </c>
      <c r="AC95" s="4">
        <f t="shared" si="53"/>
        <v>154.654972086958</v>
      </c>
      <c r="AD95">
        <v>341.045083014</v>
      </c>
      <c r="AE95" s="4">
        <f t="shared" si="54"/>
        <v>159.10450830140002</v>
      </c>
      <c r="AF95">
        <v>295.76532061306</v>
      </c>
      <c r="AG95" s="4">
        <f t="shared" si="55"/>
        <v>154.57653206130601</v>
      </c>
      <c r="AH95">
        <v>294.41255065844001</v>
      </c>
      <c r="AI95" s="4">
        <f t="shared" si="56"/>
        <v>154.44125506584402</v>
      </c>
      <c r="AJ95">
        <v>332.16859683235998</v>
      </c>
      <c r="AK95" s="4">
        <f t="shared" si="57"/>
        <v>158.21685968323601</v>
      </c>
      <c r="AL95">
        <v>293.70247585599998</v>
      </c>
      <c r="AM95" s="4">
        <f t="shared" si="58"/>
        <v>154.3702475856</v>
      </c>
      <c r="AN95">
        <v>302.60642983122</v>
      </c>
      <c r="AO95" s="4">
        <f t="shared" si="59"/>
        <v>155.26064298312201</v>
      </c>
      <c r="AP95">
        <v>339.01594807352001</v>
      </c>
      <c r="AQ95" s="4">
        <f t="shared" si="60"/>
        <v>158.90159480735201</v>
      </c>
      <c r="AR95">
        <v>314.79938739139999</v>
      </c>
      <c r="AS95" s="4">
        <f t="shared" si="61"/>
        <v>156.47993873914001</v>
      </c>
      <c r="AT95">
        <v>339.47054160042001</v>
      </c>
      <c r="AU95" s="4">
        <f t="shared" si="62"/>
        <v>158.947054160042</v>
      </c>
      <c r="AV95">
        <v>325.37548330073997</v>
      </c>
      <c r="AW95" s="4">
        <f t="shared" si="63"/>
        <v>157.537548330074</v>
      </c>
      <c r="AX95">
        <v>325.98501636776001</v>
      </c>
      <c r="AY95" s="4">
        <f t="shared" si="64"/>
        <v>157.59850163677601</v>
      </c>
      <c r="AZ95">
        <v>343.02056501329997</v>
      </c>
      <c r="BA95" s="4">
        <f t="shared" si="65"/>
        <v>159.30205650133001</v>
      </c>
      <c r="BB95">
        <v>367.08132804434001</v>
      </c>
      <c r="BC95" s="4">
        <f t="shared" si="66"/>
        <v>161.708132804434</v>
      </c>
      <c r="BD95">
        <v>365.14123336682002</v>
      </c>
      <c r="BE95" s="4">
        <f t="shared" si="67"/>
        <v>161.51412333668202</v>
      </c>
      <c r="BF95">
        <v>386.87938551155997</v>
      </c>
      <c r="BG95" s="4">
        <f t="shared" si="68"/>
        <v>163.68793855115601</v>
      </c>
      <c r="BH95">
        <v>382.04232983522002</v>
      </c>
      <c r="BI95" s="4">
        <f t="shared" si="69"/>
        <v>163.20423298352199</v>
      </c>
      <c r="BJ95">
        <v>364.63404398326003</v>
      </c>
      <c r="BK95" s="4">
        <f t="shared" si="70"/>
        <v>161.46340439832602</v>
      </c>
      <c r="BL95">
        <v>378.08736770453999</v>
      </c>
      <c r="BM95" s="4">
        <f t="shared" si="71"/>
        <v>162.808736770454</v>
      </c>
      <c r="BN95">
        <v>406.54692540287999</v>
      </c>
      <c r="BO95" s="4">
        <f t="shared" si="72"/>
        <v>165.65469254028801</v>
      </c>
      <c r="BP95">
        <v>396.90467575251989</v>
      </c>
      <c r="BQ95" s="4">
        <f t="shared" si="73"/>
        <v>164.690467575252</v>
      </c>
      <c r="BR95">
        <v>372.10145394801998</v>
      </c>
      <c r="BS95" s="4">
        <f t="shared" si="74"/>
        <v>162.210145394802</v>
      </c>
      <c r="BT95">
        <v>328.19478274693989</v>
      </c>
      <c r="BU95" s="4">
        <f t="shared" si="75"/>
        <v>157.81947827469401</v>
      </c>
      <c r="BV95">
        <v>332.96377158225999</v>
      </c>
      <c r="BW95" s="4">
        <f t="shared" si="76"/>
        <v>158.29637715822599</v>
      </c>
      <c r="BX95">
        <v>325.40552933101998</v>
      </c>
      <c r="BY95" s="4">
        <f t="shared" si="77"/>
        <v>157.54055293310199</v>
      </c>
      <c r="BZ95">
        <v>351.35276766861989</v>
      </c>
      <c r="CA95" s="4">
        <f t="shared" si="78"/>
        <v>160.13527676686198</v>
      </c>
      <c r="CB95">
        <v>360.10097174664003</v>
      </c>
      <c r="CC95" s="4">
        <f t="shared" si="79"/>
        <v>161.010097174664</v>
      </c>
      <c r="CD95">
        <v>388.07426259552</v>
      </c>
      <c r="CE95" s="4">
        <f t="shared" si="80"/>
        <v>163.80742625955202</v>
      </c>
      <c r="CF95">
        <f t="shared" si="81"/>
        <v>158.70430443448944</v>
      </c>
    </row>
    <row r="96" spans="1:84" x14ac:dyDescent="0.2">
      <c r="A96" s="2">
        <v>42098</v>
      </c>
      <c r="B96">
        <v>2022</v>
      </c>
      <c r="C96">
        <v>10</v>
      </c>
      <c r="D96">
        <v>221.434099040208</v>
      </c>
      <c r="E96" s="4">
        <f t="shared" si="41"/>
        <v>142.98120269181018</v>
      </c>
      <c r="F96">
        <v>196.79574525258599</v>
      </c>
      <c r="G96" s="4">
        <f t="shared" si="42"/>
        <v>134.83004069335283</v>
      </c>
      <c r="H96">
        <v>219.23701160624401</v>
      </c>
      <c r="I96" s="4">
        <f t="shared" si="43"/>
        <v>142.33322399338579</v>
      </c>
      <c r="J96">
        <v>214.25322527345401</v>
      </c>
      <c r="K96" s="4">
        <f t="shared" si="44"/>
        <v>140.80611400933012</v>
      </c>
      <c r="L96">
        <v>225.71940847530601</v>
      </c>
      <c r="M96" s="4">
        <f t="shared" si="45"/>
        <v>144.20060629539876</v>
      </c>
      <c r="N96">
        <v>206.969427118026</v>
      </c>
      <c r="O96" s="4">
        <f t="shared" si="46"/>
        <v>138.43127709952378</v>
      </c>
      <c r="P96">
        <v>203.99440917659999</v>
      </c>
      <c r="Q96" s="4">
        <f t="shared" si="47"/>
        <v>137.41245881610382</v>
      </c>
      <c r="R96">
        <v>203.91092212720201</v>
      </c>
      <c r="S96" s="4">
        <f t="shared" si="48"/>
        <v>137.38345946677666</v>
      </c>
      <c r="T96">
        <v>205.535297078838</v>
      </c>
      <c r="U96" s="4">
        <f t="shared" si="49"/>
        <v>137.9436837263801</v>
      </c>
      <c r="V96">
        <v>199.56746134264799</v>
      </c>
      <c r="W96" s="4">
        <f t="shared" si="50"/>
        <v>135.8439867398491</v>
      </c>
      <c r="X96">
        <v>203.10449521532999</v>
      </c>
      <c r="Y96" s="4">
        <f t="shared" si="51"/>
        <v>137.10219765265157</v>
      </c>
      <c r="Z96">
        <v>191.56850877366</v>
      </c>
      <c r="AA96" s="4">
        <f t="shared" si="52"/>
        <v>132.85091908763786</v>
      </c>
      <c r="AB96">
        <v>188.049564749832</v>
      </c>
      <c r="AC96" s="4">
        <f t="shared" si="53"/>
        <v>131.46934266566998</v>
      </c>
      <c r="AD96">
        <v>201.384078851016</v>
      </c>
      <c r="AE96" s="4">
        <f t="shared" si="54"/>
        <v>136.49520330754041</v>
      </c>
      <c r="AF96">
        <v>184.76422297841401</v>
      </c>
      <c r="AG96" s="4">
        <f t="shared" si="55"/>
        <v>130.14371402990668</v>
      </c>
      <c r="AH96">
        <v>169.692100948974</v>
      </c>
      <c r="AI96" s="4">
        <f t="shared" si="56"/>
        <v>123.61944634981113</v>
      </c>
      <c r="AJ96">
        <v>186.125927213442</v>
      </c>
      <c r="AK96" s="4">
        <f t="shared" si="57"/>
        <v>130.69734996374038</v>
      </c>
      <c r="AL96">
        <v>178.85562098206799</v>
      </c>
      <c r="AM96" s="4">
        <f t="shared" si="58"/>
        <v>127.67268793105811</v>
      </c>
      <c r="AN96">
        <v>173.15147112985201</v>
      </c>
      <c r="AO96" s="4">
        <f t="shared" si="59"/>
        <v>125.18118000276085</v>
      </c>
      <c r="AP96">
        <v>192.31994197801799</v>
      </c>
      <c r="AQ96" s="4">
        <f t="shared" si="60"/>
        <v>133.14080584613285</v>
      </c>
      <c r="AR96">
        <v>192.670999285938</v>
      </c>
      <c r="AS96" s="4">
        <f t="shared" si="61"/>
        <v>133.27561694059094</v>
      </c>
      <c r="AT96">
        <v>187.06406895411601</v>
      </c>
      <c r="AU96" s="4">
        <f t="shared" si="62"/>
        <v>131.07532352424357</v>
      </c>
      <c r="AV96">
        <v>177.23425511918401</v>
      </c>
      <c r="AW96" s="4">
        <f t="shared" si="63"/>
        <v>126.97508521894079</v>
      </c>
      <c r="AX96">
        <v>180.75178294542599</v>
      </c>
      <c r="AY96" s="4">
        <f t="shared" si="64"/>
        <v>128.47785168470537</v>
      </c>
      <c r="AZ96">
        <v>181.43769237002999</v>
      </c>
      <c r="BA96" s="4">
        <f t="shared" si="65"/>
        <v>128.76627442993137</v>
      </c>
      <c r="BB96">
        <v>195.845271894006</v>
      </c>
      <c r="BC96" s="4">
        <f t="shared" si="66"/>
        <v>134.47667905682658</v>
      </c>
      <c r="BD96">
        <v>191.54468658396601</v>
      </c>
      <c r="BE96" s="4">
        <f t="shared" si="67"/>
        <v>132.84169945028637</v>
      </c>
      <c r="BF96">
        <v>192.223890852312</v>
      </c>
      <c r="BG96" s="4">
        <f t="shared" si="68"/>
        <v>133.1038521092695</v>
      </c>
      <c r="BH96">
        <v>187.90672015779001</v>
      </c>
      <c r="BI96" s="4">
        <f t="shared" si="69"/>
        <v>131.41242338905718</v>
      </c>
      <c r="BJ96">
        <v>196.488157473288</v>
      </c>
      <c r="BK96" s="4">
        <f t="shared" si="70"/>
        <v>134.71600382969183</v>
      </c>
      <c r="BL96">
        <v>188.37004702805999</v>
      </c>
      <c r="BM96" s="4">
        <f t="shared" si="71"/>
        <v>131.59680764029434</v>
      </c>
      <c r="BN96">
        <v>190.69090429834199</v>
      </c>
      <c r="BO96" s="4">
        <f t="shared" si="72"/>
        <v>132.51007072695089</v>
      </c>
      <c r="BP96">
        <v>192.646930758504</v>
      </c>
      <c r="BQ96" s="4">
        <f t="shared" si="73"/>
        <v>133.26638686942906</v>
      </c>
      <c r="BR96">
        <v>189.76320500451001</v>
      </c>
      <c r="BS96" s="4">
        <f t="shared" si="74"/>
        <v>132.1470866467761</v>
      </c>
      <c r="BT96">
        <v>198.385037309826</v>
      </c>
      <c r="BU96" s="4">
        <f t="shared" si="75"/>
        <v>135.41444046435231</v>
      </c>
      <c r="BV96">
        <v>205.536124223922</v>
      </c>
      <c r="BW96" s="4">
        <f t="shared" si="76"/>
        <v>137.9439668463356</v>
      </c>
      <c r="BX96">
        <v>195.54833298068399</v>
      </c>
      <c r="BY96" s="4">
        <f t="shared" si="77"/>
        <v>134.36569213024484</v>
      </c>
      <c r="BZ96">
        <v>189.77125474934999</v>
      </c>
      <c r="CA96" s="4">
        <f t="shared" si="78"/>
        <v>132.15024814272169</v>
      </c>
      <c r="CB96">
        <v>187.55365825879801</v>
      </c>
      <c r="CC96" s="4">
        <f t="shared" si="79"/>
        <v>131.2714586967852</v>
      </c>
      <c r="CD96">
        <v>194.155158344418</v>
      </c>
      <c r="CE96" s="4">
        <f t="shared" si="80"/>
        <v>133.84119752562432</v>
      </c>
      <c r="CF96">
        <f t="shared" si="81"/>
        <v>133.92769009463709</v>
      </c>
    </row>
    <row r="97" spans="1:84" x14ac:dyDescent="0.2">
      <c r="A97" s="2">
        <v>42099</v>
      </c>
      <c r="B97">
        <v>2022</v>
      </c>
      <c r="C97">
        <v>11</v>
      </c>
      <c r="D97">
        <v>232.476821217083</v>
      </c>
      <c r="E97" s="4">
        <f t="shared" si="41"/>
        <v>146.00406537196369</v>
      </c>
      <c r="F97">
        <v>213.53614032809401</v>
      </c>
      <c r="G97" s="4">
        <f t="shared" si="42"/>
        <v>140.57984716614286</v>
      </c>
      <c r="H97">
        <v>247.52958999323599</v>
      </c>
      <c r="I97" s="4">
        <f t="shared" si="43"/>
        <v>149.49615331768479</v>
      </c>
      <c r="J97">
        <v>201.85364206328899</v>
      </c>
      <c r="K97" s="4">
        <f t="shared" si="44"/>
        <v>136.66181356054597</v>
      </c>
      <c r="L97">
        <v>319.11864517439011</v>
      </c>
      <c r="M97" s="4">
        <f t="shared" si="45"/>
        <v>156.91186451743903</v>
      </c>
      <c r="N97">
        <v>183.973336506967</v>
      </c>
      <c r="O97" s="4">
        <f t="shared" si="46"/>
        <v>129.81943483415785</v>
      </c>
      <c r="P97">
        <v>173.589528790841</v>
      </c>
      <c r="Q97" s="4">
        <f t="shared" si="47"/>
        <v>125.37620958151905</v>
      </c>
      <c r="R97">
        <v>197.05663282993299</v>
      </c>
      <c r="S97" s="4">
        <f t="shared" si="48"/>
        <v>134.92652636229937</v>
      </c>
      <c r="T97">
        <v>209.859442914666</v>
      </c>
      <c r="U97" s="4">
        <f t="shared" si="49"/>
        <v>139.39386566593967</v>
      </c>
      <c r="V97">
        <v>170.6547340729</v>
      </c>
      <c r="W97" s="4">
        <f t="shared" si="50"/>
        <v>124.05787285451245</v>
      </c>
      <c r="X97">
        <v>183.60312385504901</v>
      </c>
      <c r="Y97" s="4">
        <f t="shared" si="51"/>
        <v>129.66695251211706</v>
      </c>
      <c r="Z97">
        <v>199.44762156604099</v>
      </c>
      <c r="AA97" s="4">
        <f t="shared" si="52"/>
        <v>135.80065556867987</v>
      </c>
      <c r="AB97">
        <v>189.951694618408</v>
      </c>
      <c r="AC97" s="4">
        <f t="shared" si="53"/>
        <v>132.22106055696008</v>
      </c>
      <c r="AD97">
        <v>183.593032823122</v>
      </c>
      <c r="AE97" s="4">
        <f t="shared" si="54"/>
        <v>129.66279010121488</v>
      </c>
      <c r="AF97">
        <v>178.44056512751001</v>
      </c>
      <c r="AG97" s="4">
        <f t="shared" si="55"/>
        <v>127.49490867466979</v>
      </c>
      <c r="AH97">
        <v>137.304075277739</v>
      </c>
      <c r="AI97" s="4">
        <f t="shared" si="56"/>
        <v>107.14022073713897</v>
      </c>
      <c r="AJ97">
        <v>205.78469994351701</v>
      </c>
      <c r="AK97" s="4">
        <f t="shared" si="57"/>
        <v>138.02895157416768</v>
      </c>
      <c r="AL97">
        <v>198.59391278982</v>
      </c>
      <c r="AM97" s="4">
        <f t="shared" si="58"/>
        <v>135.49064527434697</v>
      </c>
      <c r="AN97">
        <v>131.25404877833901</v>
      </c>
      <c r="AO97" s="4">
        <f t="shared" si="59"/>
        <v>103.68984826520847</v>
      </c>
      <c r="AP97">
        <v>194.18714382089101</v>
      </c>
      <c r="AQ97" s="4">
        <f t="shared" si="60"/>
        <v>133.85330890038634</v>
      </c>
      <c r="AR97">
        <v>181.94268783030199</v>
      </c>
      <c r="AS97" s="4">
        <f t="shared" si="61"/>
        <v>128.97766118243845</v>
      </c>
      <c r="AT97">
        <v>118.639001127486</v>
      </c>
      <c r="AU97" s="4">
        <f t="shared" si="62"/>
        <v>96.1186609858418</v>
      </c>
      <c r="AV97">
        <v>120.33255690181799</v>
      </c>
      <c r="AW97" s="4">
        <f t="shared" si="63"/>
        <v>97.164678100971159</v>
      </c>
      <c r="AX97">
        <v>154.98286178911701</v>
      </c>
      <c r="AY97" s="4">
        <f t="shared" si="64"/>
        <v>116.55136187176574</v>
      </c>
      <c r="AZ97">
        <v>144.266247962851</v>
      </c>
      <c r="BA97" s="4">
        <f t="shared" si="65"/>
        <v>110.96584748080491</v>
      </c>
      <c r="BB97">
        <v>127.95045660719001</v>
      </c>
      <c r="BC97" s="4">
        <f t="shared" si="66"/>
        <v>101.75634565360856</v>
      </c>
      <c r="BD97">
        <v>146.84954282498799</v>
      </c>
      <c r="BE97" s="4">
        <f t="shared" si="67"/>
        <v>112.34588166033522</v>
      </c>
      <c r="BF97">
        <v>109.870284831528</v>
      </c>
      <c r="BG97" s="4">
        <f t="shared" si="68"/>
        <v>90.555917649190249</v>
      </c>
      <c r="BH97">
        <v>115.313789108644</v>
      </c>
      <c r="BI97" s="4">
        <f t="shared" si="69"/>
        <v>94.038157174895474</v>
      </c>
      <c r="BJ97">
        <v>166.144561179259</v>
      </c>
      <c r="BK97" s="4">
        <f t="shared" si="70"/>
        <v>121.97813684414135</v>
      </c>
      <c r="BL97">
        <v>126.519286834705</v>
      </c>
      <c r="BM97" s="4">
        <f t="shared" si="71"/>
        <v>100.90787892884522</v>
      </c>
      <c r="BN97">
        <v>131.545430997794</v>
      </c>
      <c r="BO97" s="4">
        <f t="shared" si="72"/>
        <v>103.85871033156138</v>
      </c>
      <c r="BP97">
        <v>119.788349634742</v>
      </c>
      <c r="BQ97" s="4">
        <f t="shared" si="73"/>
        <v>96.829551701597694</v>
      </c>
      <c r="BR97">
        <v>122.485989124993</v>
      </c>
      <c r="BS97" s="4">
        <f t="shared" si="74"/>
        <v>98.481481073908341</v>
      </c>
      <c r="BT97">
        <v>162.63633658165699</v>
      </c>
      <c r="BU97" s="4">
        <f t="shared" si="75"/>
        <v>120.31541181893374</v>
      </c>
      <c r="BV97">
        <v>174.74614820985801</v>
      </c>
      <c r="BW97" s="4">
        <f t="shared" si="76"/>
        <v>125.88820210716733</v>
      </c>
      <c r="BX97">
        <v>180.070376990217</v>
      </c>
      <c r="BY97" s="4">
        <f t="shared" si="77"/>
        <v>128.1898319191788</v>
      </c>
      <c r="BZ97">
        <v>159.74496339743101</v>
      </c>
      <c r="CA97" s="4">
        <f t="shared" si="78"/>
        <v>118.9154380680765</v>
      </c>
      <c r="CB97">
        <v>154.46954201980699</v>
      </c>
      <c r="CC97" s="4">
        <f t="shared" si="79"/>
        <v>116.29219896091271</v>
      </c>
      <c r="CD97">
        <v>162.34453625120199</v>
      </c>
      <c r="CE97" s="4">
        <f t="shared" si="80"/>
        <v>120.17533873021345</v>
      </c>
      <c r="CF97">
        <f t="shared" si="81"/>
        <v>121.83062913298339</v>
      </c>
    </row>
    <row r="98" spans="1:84" x14ac:dyDescent="0.2">
      <c r="A98" s="2">
        <v>42100</v>
      </c>
      <c r="B98">
        <v>2022</v>
      </c>
      <c r="C98">
        <v>12</v>
      </c>
      <c r="D98">
        <v>8.4192698031469995</v>
      </c>
      <c r="E98" s="4">
        <f t="shared" si="41"/>
        <v>8.3058552367179068</v>
      </c>
      <c r="F98">
        <v>9.2403817307549989</v>
      </c>
      <c r="G98" s="4">
        <f t="shared" si="42"/>
        <v>9.1037662835068858</v>
      </c>
      <c r="H98">
        <v>11.346436972745</v>
      </c>
      <c r="I98" s="4">
        <f t="shared" si="43"/>
        <v>11.140450361582639</v>
      </c>
      <c r="J98">
        <v>7.6529752229210004</v>
      </c>
      <c r="K98" s="4">
        <f t="shared" si="44"/>
        <v>7.5592663753007718</v>
      </c>
      <c r="L98">
        <v>11.722971531628</v>
      </c>
      <c r="M98" s="4">
        <f t="shared" si="45"/>
        <v>11.503086633177821</v>
      </c>
      <c r="N98">
        <v>6.6601459449769997</v>
      </c>
      <c r="O98" s="4">
        <f t="shared" si="46"/>
        <v>6.5891738745635697</v>
      </c>
      <c r="P98">
        <v>3.5713836650030002</v>
      </c>
      <c r="Q98" s="4">
        <f t="shared" si="47"/>
        <v>3.5509760149507597</v>
      </c>
      <c r="R98">
        <v>5.6456099051169986</v>
      </c>
      <c r="S98" s="4">
        <f t="shared" si="48"/>
        <v>5.5946132471957899</v>
      </c>
      <c r="T98">
        <v>5.3754752551919998</v>
      </c>
      <c r="U98" s="4">
        <f t="shared" si="49"/>
        <v>5.3292420804413094</v>
      </c>
      <c r="V98">
        <v>3.8860266791010001</v>
      </c>
      <c r="W98" s="4">
        <f t="shared" si="50"/>
        <v>3.8618647537399049</v>
      </c>
      <c r="X98">
        <v>7.1218533892869988</v>
      </c>
      <c r="Y98" s="4">
        <f t="shared" si="51"/>
        <v>7.0407001161694005</v>
      </c>
      <c r="Z98">
        <v>6.6290849695769989</v>
      </c>
      <c r="AA98" s="4">
        <f t="shared" si="52"/>
        <v>6.5587733415228042</v>
      </c>
      <c r="AB98">
        <v>3.8934453973309999</v>
      </c>
      <c r="AC98" s="4">
        <f t="shared" si="53"/>
        <v>3.8691911300318029</v>
      </c>
      <c r="AD98">
        <v>8.6729452863969989</v>
      </c>
      <c r="AE98" s="4">
        <f t="shared" si="54"/>
        <v>8.5525933184916614</v>
      </c>
      <c r="AF98">
        <v>6.2186900153909992</v>
      </c>
      <c r="AG98" s="4">
        <f t="shared" si="55"/>
        <v>6.1568146465789608</v>
      </c>
      <c r="AH98">
        <v>4.2025225719890003</v>
      </c>
      <c r="AI98" s="4">
        <f t="shared" si="56"/>
        <v>4.1742646584400775</v>
      </c>
      <c r="AJ98">
        <v>7.0398411515949997</v>
      </c>
      <c r="AK98" s="4">
        <f t="shared" si="57"/>
        <v>6.9605461700914946</v>
      </c>
      <c r="AL98">
        <v>5.465016633474999</v>
      </c>
      <c r="AM98" s="4">
        <f t="shared" si="58"/>
        <v>5.4172303825883459</v>
      </c>
      <c r="AN98">
        <v>4.5556159434800003</v>
      </c>
      <c r="AO98" s="4">
        <f t="shared" si="59"/>
        <v>4.5224101248808175</v>
      </c>
      <c r="AP98">
        <v>7.4553953494719991</v>
      </c>
      <c r="AQ98" s="4">
        <f t="shared" si="60"/>
        <v>7.3664626777649138</v>
      </c>
      <c r="AR98">
        <v>4.2784421045240002</v>
      </c>
      <c r="AS98" s="4">
        <f t="shared" si="61"/>
        <v>4.2491539975771788</v>
      </c>
      <c r="AT98">
        <v>0.85015297273199986</v>
      </c>
      <c r="AU98" s="4">
        <f t="shared" si="62"/>
        <v>0.84899655660872775</v>
      </c>
      <c r="AV98">
        <v>2.1523576969299998</v>
      </c>
      <c r="AW98" s="4">
        <f t="shared" si="63"/>
        <v>2.1449454670811456</v>
      </c>
      <c r="AX98">
        <v>2.0777118029500001</v>
      </c>
      <c r="AY98" s="4">
        <f t="shared" si="64"/>
        <v>2.070804784812212</v>
      </c>
      <c r="AZ98">
        <v>1.8628456670110001</v>
      </c>
      <c r="BA98" s="4">
        <f t="shared" si="65"/>
        <v>1.8572933566444376</v>
      </c>
      <c r="BB98">
        <v>2.4094046016670001</v>
      </c>
      <c r="BC98" s="4">
        <f t="shared" si="66"/>
        <v>2.4001162328117456</v>
      </c>
      <c r="BD98">
        <v>2.9330822382189998</v>
      </c>
      <c r="BE98" s="4">
        <f t="shared" si="67"/>
        <v>2.9193174839531504</v>
      </c>
      <c r="BF98">
        <v>2.4187093923090002</v>
      </c>
      <c r="BG98" s="4">
        <f t="shared" si="68"/>
        <v>2.40934914410989</v>
      </c>
      <c r="BH98">
        <v>1.965380511899</v>
      </c>
      <c r="BI98" s="4">
        <f t="shared" si="69"/>
        <v>1.9592001590085162</v>
      </c>
      <c r="BJ98">
        <v>1.6541720189189999</v>
      </c>
      <c r="BK98" s="4">
        <f t="shared" si="70"/>
        <v>1.6497939628099207</v>
      </c>
      <c r="BL98">
        <v>1.2126491740859999</v>
      </c>
      <c r="BM98" s="4">
        <f t="shared" si="71"/>
        <v>1.2102963452549416</v>
      </c>
      <c r="BN98">
        <v>2.2477951633340001</v>
      </c>
      <c r="BO98" s="4">
        <f t="shared" si="72"/>
        <v>2.2397110303799077</v>
      </c>
      <c r="BP98">
        <v>2.1265297878229998</v>
      </c>
      <c r="BQ98" s="4">
        <f t="shared" si="73"/>
        <v>2.119294381521402</v>
      </c>
      <c r="BR98">
        <v>0.14831740786799999</v>
      </c>
      <c r="BS98" s="4">
        <f t="shared" si="74"/>
        <v>0.14828221098243727</v>
      </c>
      <c r="BT98">
        <v>3.5869515327450001</v>
      </c>
      <c r="BU98" s="4">
        <f t="shared" si="75"/>
        <v>3.5663655786677815</v>
      </c>
      <c r="BV98">
        <v>1.914986770914</v>
      </c>
      <c r="BW98" s="4">
        <f t="shared" si="76"/>
        <v>1.9091192919815589</v>
      </c>
      <c r="BX98">
        <v>1.639036806974</v>
      </c>
      <c r="BY98" s="4">
        <f t="shared" si="77"/>
        <v>1.6347385003266153</v>
      </c>
      <c r="BZ98">
        <v>0.60565610287699989</v>
      </c>
      <c r="CA98" s="4">
        <f t="shared" si="78"/>
        <v>0.6050691919730764</v>
      </c>
      <c r="CB98">
        <v>0.261315500187</v>
      </c>
      <c r="CC98" s="4">
        <f t="shared" si="79"/>
        <v>0.26120624292197925</v>
      </c>
      <c r="CD98">
        <v>0.220622506041</v>
      </c>
      <c r="CE98" s="4">
        <f t="shared" si="80"/>
        <v>0.2205446271767251</v>
      </c>
      <c r="CF98">
        <f t="shared" si="81"/>
        <v>4.2553921246782762</v>
      </c>
    </row>
  </sheetData>
  <mergeCells count="44">
    <mergeCell ref="A1:A2"/>
    <mergeCell ref="B1:B2"/>
    <mergeCell ref="C1:C2"/>
    <mergeCell ref="N1:O1"/>
    <mergeCell ref="R1:S1"/>
    <mergeCell ref="D1:E1"/>
    <mergeCell ref="F1:G1"/>
    <mergeCell ref="H1:I1"/>
    <mergeCell ref="J1:K1"/>
    <mergeCell ref="L1:M1"/>
    <mergeCell ref="BT1:BU1"/>
    <mergeCell ref="BJ1:BK1"/>
    <mergeCell ref="BL1:BM1"/>
    <mergeCell ref="X1:Y1"/>
    <mergeCell ref="P1:Q1"/>
    <mergeCell ref="T1:U1"/>
    <mergeCell ref="V1:W1"/>
    <mergeCell ref="AL1:AM1"/>
    <mergeCell ref="AN1:AO1"/>
    <mergeCell ref="BN1:BO1"/>
    <mergeCell ref="BP1:BQ1"/>
    <mergeCell ref="BR1:BS1"/>
    <mergeCell ref="BH1:BI1"/>
    <mergeCell ref="Z1:AA1"/>
    <mergeCell ref="AB1:AC1"/>
    <mergeCell ref="AD1:AE1"/>
    <mergeCell ref="AF1:AG1"/>
    <mergeCell ref="AH1:AI1"/>
    <mergeCell ref="AJ1:AK1"/>
    <mergeCell ref="AX1:AY1"/>
    <mergeCell ref="AZ1:BA1"/>
    <mergeCell ref="BB1:BC1"/>
    <mergeCell ref="BD1:BE1"/>
    <mergeCell ref="BF1:BG1"/>
    <mergeCell ref="AP1:AQ1"/>
    <mergeCell ref="AR1:AS1"/>
    <mergeCell ref="AT1:AU1"/>
    <mergeCell ref="AV1:AW1"/>
    <mergeCell ref="CF1:CF2"/>
    <mergeCell ref="BV1:BW1"/>
    <mergeCell ref="BX1:BY1"/>
    <mergeCell ref="BZ1:CA1"/>
    <mergeCell ref="CB1:CC1"/>
    <mergeCell ref="CD1:C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1B7F-077E-473F-80EC-EC535CD2D187}">
  <dimension ref="A1:D97"/>
  <sheetViews>
    <sheetView workbookViewId="0">
      <selection activeCell="F21" sqref="F21"/>
    </sheetView>
  </sheetViews>
  <sheetFormatPr baseColWidth="10" defaultColWidth="8.83203125" defaultRowHeight="15" x14ac:dyDescent="0.2"/>
  <cols>
    <col min="3" max="3" width="11.83203125" bestFit="1" customWidth="1"/>
  </cols>
  <sheetData>
    <row r="1" spans="1:4" x14ac:dyDescent="0.2">
      <c r="A1" t="s">
        <v>1</v>
      </c>
      <c r="B1" t="s">
        <v>2</v>
      </c>
      <c r="C1" t="s">
        <v>79</v>
      </c>
      <c r="D1" t="s">
        <v>81</v>
      </c>
    </row>
    <row r="2" spans="1:4" x14ac:dyDescent="0.2">
      <c r="A2">
        <v>2015</v>
      </c>
      <c r="B2">
        <v>1</v>
      </c>
      <c r="C2">
        <v>25.098505086332001</v>
      </c>
    </row>
    <row r="3" spans="1:4" x14ac:dyDescent="0.2">
      <c r="A3">
        <v>2015</v>
      </c>
      <c r="B3">
        <v>2</v>
      </c>
      <c r="C3">
        <v>0.68764592256347401</v>
      </c>
    </row>
    <row r="4" spans="1:4" x14ac:dyDescent="0.2">
      <c r="A4">
        <v>2015</v>
      </c>
      <c r="B4">
        <v>3</v>
      </c>
      <c r="C4">
        <v>0.633335732252995</v>
      </c>
    </row>
    <row r="5" spans="1:4" x14ac:dyDescent="0.2">
      <c r="A5">
        <v>2015</v>
      </c>
      <c r="B5">
        <v>4</v>
      </c>
      <c r="C5">
        <v>9.8656357006706408</v>
      </c>
    </row>
    <row r="6" spans="1:4" x14ac:dyDescent="0.2">
      <c r="A6">
        <v>2015</v>
      </c>
      <c r="B6">
        <v>5</v>
      </c>
      <c r="C6">
        <v>47.776651444671103</v>
      </c>
    </row>
    <row r="7" spans="1:4" x14ac:dyDescent="0.2">
      <c r="A7">
        <v>2015</v>
      </c>
      <c r="B7">
        <v>6</v>
      </c>
      <c r="C7">
        <v>121.06099309609201</v>
      </c>
    </row>
    <row r="8" spans="1:4" x14ac:dyDescent="0.2">
      <c r="A8">
        <v>2015</v>
      </c>
      <c r="B8">
        <v>7</v>
      </c>
      <c r="C8">
        <v>159.15139044806</v>
      </c>
    </row>
    <row r="9" spans="1:4" x14ac:dyDescent="0.2">
      <c r="A9">
        <v>2015</v>
      </c>
      <c r="B9">
        <v>8</v>
      </c>
      <c r="C9">
        <v>154.23227265978099</v>
      </c>
    </row>
    <row r="10" spans="1:4" x14ac:dyDescent="0.2">
      <c r="A10">
        <v>2015</v>
      </c>
      <c r="B10">
        <v>9</v>
      </c>
      <c r="C10">
        <v>141.62586209944601</v>
      </c>
    </row>
    <row r="11" spans="1:4" x14ac:dyDescent="0.2">
      <c r="A11">
        <v>2015</v>
      </c>
      <c r="B11">
        <v>10</v>
      </c>
      <c r="C11">
        <v>112.32113744615999</v>
      </c>
    </row>
    <row r="12" spans="1:4" x14ac:dyDescent="0.2">
      <c r="A12">
        <v>2015</v>
      </c>
      <c r="B12">
        <v>11</v>
      </c>
      <c r="C12">
        <v>6.8063232121990103</v>
      </c>
    </row>
    <row r="13" spans="1:4" x14ac:dyDescent="0.2">
      <c r="A13">
        <v>2015</v>
      </c>
      <c r="B13">
        <v>12</v>
      </c>
      <c r="C13">
        <v>11.721029703819299</v>
      </c>
      <c r="D13">
        <f>SUM(C2:C13)</f>
        <v>790.98078255204769</v>
      </c>
    </row>
    <row r="14" spans="1:4" x14ac:dyDescent="0.2">
      <c r="A14">
        <v>2016</v>
      </c>
      <c r="B14">
        <v>1</v>
      </c>
      <c r="C14">
        <v>9.7303900519578796</v>
      </c>
    </row>
    <row r="15" spans="1:4" x14ac:dyDescent="0.2">
      <c r="A15">
        <v>2016</v>
      </c>
      <c r="B15">
        <v>2</v>
      </c>
      <c r="C15">
        <v>1.0749731883878599</v>
      </c>
    </row>
    <row r="16" spans="1:4" x14ac:dyDescent="0.2">
      <c r="A16">
        <v>2016</v>
      </c>
      <c r="B16">
        <v>3</v>
      </c>
      <c r="C16">
        <v>1.8783663742016401</v>
      </c>
    </row>
    <row r="17" spans="1:4" x14ac:dyDescent="0.2">
      <c r="A17">
        <v>2016</v>
      </c>
      <c r="B17">
        <v>4</v>
      </c>
      <c r="C17">
        <v>7.2257295035033797</v>
      </c>
    </row>
    <row r="18" spans="1:4" x14ac:dyDescent="0.2">
      <c r="A18">
        <v>2016</v>
      </c>
      <c r="B18">
        <v>5</v>
      </c>
      <c r="C18">
        <v>85.384864220786497</v>
      </c>
    </row>
    <row r="19" spans="1:4" x14ac:dyDescent="0.2">
      <c r="A19">
        <v>2016</v>
      </c>
      <c r="B19">
        <v>6</v>
      </c>
      <c r="C19">
        <v>146.257849748838</v>
      </c>
    </row>
    <row r="20" spans="1:4" x14ac:dyDescent="0.2">
      <c r="A20">
        <v>2016</v>
      </c>
      <c r="B20">
        <v>7</v>
      </c>
      <c r="C20">
        <v>143.40114523673299</v>
      </c>
    </row>
    <row r="21" spans="1:4" x14ac:dyDescent="0.2">
      <c r="A21">
        <v>2016</v>
      </c>
      <c r="B21">
        <v>8</v>
      </c>
      <c r="C21">
        <v>166.41342720392299</v>
      </c>
    </row>
    <row r="22" spans="1:4" x14ac:dyDescent="0.2">
      <c r="A22">
        <v>2016</v>
      </c>
      <c r="B22">
        <v>9</v>
      </c>
      <c r="C22">
        <v>154.52057469753501</v>
      </c>
    </row>
    <row r="23" spans="1:4" x14ac:dyDescent="0.2">
      <c r="A23">
        <v>2016</v>
      </c>
      <c r="B23">
        <v>10</v>
      </c>
      <c r="C23">
        <v>142.33209227499199</v>
      </c>
    </row>
    <row r="24" spans="1:4" x14ac:dyDescent="0.2">
      <c r="A24">
        <v>2016</v>
      </c>
      <c r="B24">
        <v>11</v>
      </c>
      <c r="C24">
        <v>102.54856775611201</v>
      </c>
    </row>
    <row r="25" spans="1:4" x14ac:dyDescent="0.2">
      <c r="A25">
        <v>2016</v>
      </c>
      <c r="B25">
        <v>12</v>
      </c>
      <c r="C25">
        <v>5.4301444830654599</v>
      </c>
      <c r="D25">
        <f>SUM(C14:C25)</f>
        <v>966.19812474003561</v>
      </c>
    </row>
    <row r="26" spans="1:4" x14ac:dyDescent="0.2">
      <c r="A26">
        <v>2017</v>
      </c>
      <c r="B26">
        <v>1</v>
      </c>
      <c r="C26">
        <v>52.618893928029699</v>
      </c>
    </row>
    <row r="27" spans="1:4" x14ac:dyDescent="0.2">
      <c r="A27">
        <v>2017</v>
      </c>
      <c r="B27">
        <v>2</v>
      </c>
      <c r="C27">
        <v>2.9689753001663801</v>
      </c>
    </row>
    <row r="28" spans="1:4" x14ac:dyDescent="0.2">
      <c r="A28">
        <v>2017</v>
      </c>
      <c r="B28">
        <v>3</v>
      </c>
      <c r="C28">
        <v>1.3572339407192</v>
      </c>
    </row>
    <row r="29" spans="1:4" x14ac:dyDescent="0.2">
      <c r="A29">
        <v>2017</v>
      </c>
      <c r="B29">
        <v>4</v>
      </c>
      <c r="C29">
        <v>13.135810096686299</v>
      </c>
    </row>
    <row r="30" spans="1:4" x14ac:dyDescent="0.2">
      <c r="A30">
        <v>2017</v>
      </c>
      <c r="B30">
        <v>5</v>
      </c>
      <c r="C30">
        <v>99.414446380139594</v>
      </c>
    </row>
    <row r="31" spans="1:4" x14ac:dyDescent="0.2">
      <c r="A31">
        <v>2017</v>
      </c>
      <c r="B31">
        <v>6</v>
      </c>
      <c r="C31">
        <v>133.97209273218201</v>
      </c>
    </row>
    <row r="32" spans="1:4" x14ac:dyDescent="0.2">
      <c r="A32">
        <v>2017</v>
      </c>
      <c r="B32">
        <v>7</v>
      </c>
      <c r="C32">
        <v>151.73042203988899</v>
      </c>
    </row>
    <row r="33" spans="1:4" x14ac:dyDescent="0.2">
      <c r="A33">
        <v>2017</v>
      </c>
      <c r="B33">
        <v>8</v>
      </c>
      <c r="C33">
        <v>165.069286062982</v>
      </c>
    </row>
    <row r="34" spans="1:4" x14ac:dyDescent="0.2">
      <c r="A34">
        <v>2017</v>
      </c>
      <c r="B34">
        <v>9</v>
      </c>
      <c r="C34">
        <v>157.185609681584</v>
      </c>
    </row>
    <row r="35" spans="1:4" x14ac:dyDescent="0.2">
      <c r="A35">
        <v>2017</v>
      </c>
      <c r="B35">
        <v>10</v>
      </c>
      <c r="C35">
        <v>93.562447217663106</v>
      </c>
    </row>
    <row r="36" spans="1:4" x14ac:dyDescent="0.2">
      <c r="A36">
        <v>2017</v>
      </c>
      <c r="B36">
        <v>11</v>
      </c>
      <c r="C36">
        <v>144.78436221556001</v>
      </c>
    </row>
    <row r="37" spans="1:4" x14ac:dyDescent="0.2">
      <c r="A37">
        <v>2017</v>
      </c>
      <c r="B37">
        <v>12</v>
      </c>
      <c r="C37">
        <v>3.6168044954024499</v>
      </c>
      <c r="D37">
        <f>SUM(C26:C37)</f>
        <v>1019.4163840910037</v>
      </c>
    </row>
    <row r="38" spans="1:4" x14ac:dyDescent="0.2">
      <c r="A38">
        <v>2018</v>
      </c>
      <c r="B38">
        <v>1</v>
      </c>
      <c r="C38">
        <v>38.625767913007998</v>
      </c>
    </row>
    <row r="39" spans="1:4" x14ac:dyDescent="0.2">
      <c r="A39">
        <v>2018</v>
      </c>
      <c r="B39">
        <v>2</v>
      </c>
      <c r="C39">
        <v>0.81760621766804598</v>
      </c>
    </row>
    <row r="40" spans="1:4" x14ac:dyDescent="0.2">
      <c r="A40">
        <v>2018</v>
      </c>
      <c r="B40">
        <v>3</v>
      </c>
      <c r="C40">
        <v>1.40842672837145</v>
      </c>
    </row>
    <row r="41" spans="1:4" x14ac:dyDescent="0.2">
      <c r="A41">
        <v>2018</v>
      </c>
      <c r="B41">
        <v>4</v>
      </c>
      <c r="C41">
        <v>11.2510679986655</v>
      </c>
    </row>
    <row r="42" spans="1:4" x14ac:dyDescent="0.2">
      <c r="A42">
        <v>2018</v>
      </c>
      <c r="B42">
        <v>5</v>
      </c>
      <c r="C42">
        <v>57.9984132112845</v>
      </c>
    </row>
    <row r="43" spans="1:4" x14ac:dyDescent="0.2">
      <c r="A43" s="13">
        <v>2018</v>
      </c>
      <c r="B43" s="13">
        <v>6</v>
      </c>
      <c r="C43" s="13">
        <v>176.89525001023</v>
      </c>
    </row>
    <row r="44" spans="1:4" x14ac:dyDescent="0.2">
      <c r="A44">
        <v>2018</v>
      </c>
      <c r="B44">
        <v>7</v>
      </c>
      <c r="C44">
        <v>155.01921643109901</v>
      </c>
    </row>
    <row r="45" spans="1:4" x14ac:dyDescent="0.2">
      <c r="A45">
        <v>2018</v>
      </c>
      <c r="B45">
        <v>8</v>
      </c>
      <c r="C45">
        <v>170.08191934590701</v>
      </c>
    </row>
    <row r="46" spans="1:4" x14ac:dyDescent="0.2">
      <c r="A46">
        <v>2018</v>
      </c>
      <c r="B46">
        <v>9</v>
      </c>
      <c r="C46">
        <v>162.18357283953401</v>
      </c>
    </row>
    <row r="47" spans="1:4" x14ac:dyDescent="0.2">
      <c r="A47">
        <v>2018</v>
      </c>
      <c r="B47">
        <v>10</v>
      </c>
      <c r="C47">
        <v>75.832430954284106</v>
      </c>
    </row>
    <row r="48" spans="1:4" x14ac:dyDescent="0.2">
      <c r="A48">
        <v>2018</v>
      </c>
      <c r="B48">
        <v>11</v>
      </c>
      <c r="C48">
        <v>24.2261676714398</v>
      </c>
    </row>
    <row r="49" spans="1:4" x14ac:dyDescent="0.2">
      <c r="A49">
        <v>2018</v>
      </c>
      <c r="B49">
        <v>12</v>
      </c>
      <c r="C49">
        <v>5.4027114604647197</v>
      </c>
      <c r="D49">
        <f>SUM(C38:C49)</f>
        <v>879.7425507819562</v>
      </c>
    </row>
    <row r="50" spans="1:4" x14ac:dyDescent="0.2">
      <c r="A50">
        <v>2019</v>
      </c>
      <c r="B50">
        <v>1</v>
      </c>
      <c r="C50">
        <v>32.366825698833601</v>
      </c>
    </row>
    <row r="51" spans="1:4" x14ac:dyDescent="0.2">
      <c r="A51">
        <v>2019</v>
      </c>
      <c r="B51">
        <v>2</v>
      </c>
      <c r="C51">
        <v>0.91147316018330304</v>
      </c>
    </row>
    <row r="52" spans="1:4" x14ac:dyDescent="0.2">
      <c r="A52">
        <v>2019</v>
      </c>
      <c r="B52">
        <v>3</v>
      </c>
      <c r="C52">
        <v>0.37016588725537197</v>
      </c>
    </row>
    <row r="53" spans="1:4" x14ac:dyDescent="0.2">
      <c r="A53">
        <v>2019</v>
      </c>
      <c r="B53">
        <v>4</v>
      </c>
      <c r="C53">
        <v>11.5373474141998</v>
      </c>
    </row>
    <row r="54" spans="1:4" x14ac:dyDescent="0.2">
      <c r="A54">
        <v>2019</v>
      </c>
      <c r="B54">
        <v>5</v>
      </c>
      <c r="C54">
        <v>80.409060229640104</v>
      </c>
    </row>
    <row r="55" spans="1:4" x14ac:dyDescent="0.2">
      <c r="A55" s="13">
        <v>2019</v>
      </c>
      <c r="B55" s="13">
        <v>6</v>
      </c>
      <c r="C55" s="13">
        <v>150.019566963101</v>
      </c>
    </row>
    <row r="56" spans="1:4" x14ac:dyDescent="0.2">
      <c r="A56">
        <v>2019</v>
      </c>
      <c r="B56">
        <v>7</v>
      </c>
      <c r="C56">
        <v>149.485639981497</v>
      </c>
    </row>
    <row r="57" spans="1:4" x14ac:dyDescent="0.2">
      <c r="A57">
        <v>2019</v>
      </c>
      <c r="B57">
        <v>8</v>
      </c>
      <c r="C57">
        <v>165.01011806553799</v>
      </c>
    </row>
    <row r="58" spans="1:4" x14ac:dyDescent="0.2">
      <c r="A58">
        <v>2019</v>
      </c>
      <c r="B58">
        <v>9</v>
      </c>
      <c r="C58">
        <v>163.12672659798301</v>
      </c>
    </row>
    <row r="59" spans="1:4" x14ac:dyDescent="0.2">
      <c r="A59">
        <v>2019</v>
      </c>
      <c r="B59">
        <v>10</v>
      </c>
      <c r="C59">
        <v>66.812569261354398</v>
      </c>
    </row>
    <row r="60" spans="1:4" x14ac:dyDescent="0.2">
      <c r="A60">
        <v>2019</v>
      </c>
      <c r="B60">
        <v>11</v>
      </c>
      <c r="C60">
        <v>141.231021418083</v>
      </c>
    </row>
    <row r="61" spans="1:4" x14ac:dyDescent="0.2">
      <c r="A61">
        <v>2019</v>
      </c>
      <c r="B61">
        <v>12</v>
      </c>
      <c r="C61">
        <v>7.5317565876588901</v>
      </c>
      <c r="D61">
        <f>SUM(C50:C61)</f>
        <v>968.81227126532735</v>
      </c>
    </row>
    <row r="62" spans="1:4" x14ac:dyDescent="0.2">
      <c r="A62">
        <v>2020</v>
      </c>
      <c r="B62">
        <v>1</v>
      </c>
      <c r="C62">
        <v>25.230724123965999</v>
      </c>
    </row>
    <row r="63" spans="1:4" x14ac:dyDescent="0.2">
      <c r="A63">
        <v>2020</v>
      </c>
      <c r="B63">
        <v>2</v>
      </c>
      <c r="C63">
        <v>4.3122829184941898</v>
      </c>
    </row>
    <row r="64" spans="1:4" x14ac:dyDescent="0.2">
      <c r="A64">
        <v>2020</v>
      </c>
      <c r="B64">
        <v>3</v>
      </c>
      <c r="C64">
        <v>0.94451668614143103</v>
      </c>
    </row>
    <row r="65" spans="1:4" x14ac:dyDescent="0.2">
      <c r="A65">
        <v>2020</v>
      </c>
      <c r="B65">
        <v>4</v>
      </c>
      <c r="C65">
        <v>11.127626695888701</v>
      </c>
    </row>
    <row r="66" spans="1:4" x14ac:dyDescent="0.2">
      <c r="A66">
        <v>2020</v>
      </c>
      <c r="B66">
        <v>5</v>
      </c>
      <c r="C66">
        <v>77.454370870306505</v>
      </c>
    </row>
    <row r="67" spans="1:4" x14ac:dyDescent="0.2">
      <c r="A67">
        <v>2020</v>
      </c>
      <c r="B67">
        <v>6</v>
      </c>
      <c r="C67">
        <v>143.50636432449099</v>
      </c>
    </row>
    <row r="68" spans="1:4" x14ac:dyDescent="0.2">
      <c r="A68">
        <v>2020</v>
      </c>
      <c r="B68">
        <v>7</v>
      </c>
      <c r="C68">
        <v>122.05363389252599</v>
      </c>
    </row>
    <row r="69" spans="1:4" x14ac:dyDescent="0.2">
      <c r="A69">
        <v>2020</v>
      </c>
      <c r="B69">
        <v>8</v>
      </c>
      <c r="C69">
        <v>154.726014444653</v>
      </c>
    </row>
    <row r="70" spans="1:4" x14ac:dyDescent="0.2">
      <c r="A70">
        <v>2020</v>
      </c>
      <c r="B70">
        <v>9</v>
      </c>
      <c r="C70">
        <v>149.29854946149501</v>
      </c>
    </row>
    <row r="71" spans="1:4" x14ac:dyDescent="0.2">
      <c r="A71">
        <v>2020</v>
      </c>
      <c r="B71">
        <v>10</v>
      </c>
      <c r="C71">
        <v>148.285024644544</v>
      </c>
    </row>
    <row r="72" spans="1:4" x14ac:dyDescent="0.2">
      <c r="A72">
        <v>2020</v>
      </c>
      <c r="B72">
        <v>11</v>
      </c>
      <c r="C72">
        <v>160.41735038750301</v>
      </c>
    </row>
    <row r="73" spans="1:4" x14ac:dyDescent="0.2">
      <c r="A73">
        <v>2020</v>
      </c>
      <c r="B73">
        <v>12</v>
      </c>
      <c r="C73">
        <v>10.4783555571252</v>
      </c>
      <c r="D73">
        <f>SUM(C62:C73)</f>
        <v>1007.834814007134</v>
      </c>
    </row>
    <row r="74" spans="1:4" x14ac:dyDescent="0.2">
      <c r="A74">
        <v>2021</v>
      </c>
      <c r="B74">
        <v>1</v>
      </c>
      <c r="C74">
        <v>84.345725484604898</v>
      </c>
    </row>
    <row r="75" spans="1:4" x14ac:dyDescent="0.2">
      <c r="A75">
        <v>2021</v>
      </c>
      <c r="B75">
        <v>2</v>
      </c>
      <c r="C75">
        <v>5.4680938898880802</v>
      </c>
    </row>
    <row r="76" spans="1:4" x14ac:dyDescent="0.2">
      <c r="A76">
        <v>2021</v>
      </c>
      <c r="B76">
        <v>3</v>
      </c>
      <c r="C76">
        <v>2.8797893252509001</v>
      </c>
    </row>
    <row r="77" spans="1:4" x14ac:dyDescent="0.2">
      <c r="A77">
        <v>2021</v>
      </c>
      <c r="B77">
        <v>4</v>
      </c>
      <c r="C77">
        <v>6.3185346302580703</v>
      </c>
    </row>
    <row r="78" spans="1:4" x14ac:dyDescent="0.2">
      <c r="A78">
        <v>2021</v>
      </c>
      <c r="B78">
        <v>5</v>
      </c>
      <c r="C78">
        <v>29.998044295109899</v>
      </c>
    </row>
    <row r="79" spans="1:4" x14ac:dyDescent="0.2">
      <c r="A79">
        <v>2021</v>
      </c>
      <c r="B79">
        <v>6</v>
      </c>
      <c r="C79">
        <v>145.555160056793</v>
      </c>
    </row>
    <row r="80" spans="1:4" x14ac:dyDescent="0.2">
      <c r="A80">
        <v>2021</v>
      </c>
      <c r="B80">
        <v>7</v>
      </c>
      <c r="C80">
        <v>166.602834980095</v>
      </c>
    </row>
    <row r="81" spans="1:4" x14ac:dyDescent="0.2">
      <c r="A81">
        <v>2021</v>
      </c>
      <c r="B81">
        <v>8</v>
      </c>
      <c r="C81">
        <v>148.11262228502</v>
      </c>
    </row>
    <row r="82" spans="1:4" x14ac:dyDescent="0.2">
      <c r="A82">
        <v>2021</v>
      </c>
      <c r="B82">
        <v>9</v>
      </c>
      <c r="C82">
        <v>156.16849082440899</v>
      </c>
    </row>
    <row r="83" spans="1:4" x14ac:dyDescent="0.2">
      <c r="A83">
        <v>2021</v>
      </c>
      <c r="B83">
        <v>10</v>
      </c>
      <c r="C83">
        <v>95.588907192049803</v>
      </c>
    </row>
    <row r="84" spans="1:4" x14ac:dyDescent="0.2">
      <c r="A84">
        <v>2021</v>
      </c>
      <c r="B84">
        <v>11</v>
      </c>
      <c r="C84">
        <v>81.794465866992496</v>
      </c>
    </row>
    <row r="85" spans="1:4" x14ac:dyDescent="0.2">
      <c r="A85">
        <v>2021</v>
      </c>
      <c r="B85">
        <v>12</v>
      </c>
      <c r="C85">
        <v>2.4473862363923602</v>
      </c>
      <c r="D85">
        <f>SUM(C74:C85)</f>
        <v>925.2800550668635</v>
      </c>
    </row>
    <row r="86" spans="1:4" x14ac:dyDescent="0.2">
      <c r="A86">
        <v>2022</v>
      </c>
      <c r="B86">
        <v>1</v>
      </c>
      <c r="C86">
        <v>30.234582400701001</v>
      </c>
    </row>
    <row r="87" spans="1:4" x14ac:dyDescent="0.2">
      <c r="A87">
        <v>2022</v>
      </c>
      <c r="B87">
        <v>2</v>
      </c>
      <c r="C87">
        <v>2.80296529533492</v>
      </c>
    </row>
    <row r="88" spans="1:4" x14ac:dyDescent="0.2">
      <c r="A88">
        <v>2022</v>
      </c>
      <c r="B88">
        <v>3</v>
      </c>
      <c r="C88">
        <v>5.9497795016664803</v>
      </c>
    </row>
    <row r="89" spans="1:4" x14ac:dyDescent="0.2">
      <c r="A89" s="13">
        <v>2022</v>
      </c>
      <c r="B89" s="13">
        <v>4</v>
      </c>
      <c r="C89" s="13">
        <v>17.750839625343598</v>
      </c>
    </row>
    <row r="90" spans="1:4" x14ac:dyDescent="0.2">
      <c r="A90" s="13">
        <v>2022</v>
      </c>
      <c r="B90" s="13">
        <v>5</v>
      </c>
      <c r="C90" s="13">
        <v>70.729140550729994</v>
      </c>
    </row>
    <row r="91" spans="1:4" x14ac:dyDescent="0.2">
      <c r="A91">
        <v>2022</v>
      </c>
      <c r="B91">
        <v>6</v>
      </c>
      <c r="C91">
        <v>148.566336053469</v>
      </c>
    </row>
    <row r="92" spans="1:4" x14ac:dyDescent="0.2">
      <c r="A92">
        <v>2022</v>
      </c>
      <c r="B92">
        <v>7</v>
      </c>
      <c r="C92">
        <v>152.311560892188</v>
      </c>
    </row>
    <row r="93" spans="1:4" x14ac:dyDescent="0.2">
      <c r="A93">
        <v>2022</v>
      </c>
      <c r="B93">
        <v>8</v>
      </c>
      <c r="C93">
        <v>158.27907776887301</v>
      </c>
    </row>
    <row r="94" spans="1:4" x14ac:dyDescent="0.2">
      <c r="A94">
        <v>2022</v>
      </c>
      <c r="B94">
        <v>9</v>
      </c>
      <c r="C94">
        <v>159.056113659678</v>
      </c>
    </row>
    <row r="95" spans="1:4" x14ac:dyDescent="0.2">
      <c r="A95">
        <v>2022</v>
      </c>
      <c r="B95">
        <v>10</v>
      </c>
      <c r="C95">
        <v>132.76571633016499</v>
      </c>
    </row>
    <row r="96" spans="1:4" x14ac:dyDescent="0.2">
      <c r="A96">
        <v>2022</v>
      </c>
      <c r="B96">
        <v>11</v>
      </c>
      <c r="C96">
        <v>116.346739895818</v>
      </c>
    </row>
    <row r="97" spans="1:4" x14ac:dyDescent="0.2">
      <c r="A97">
        <v>2022</v>
      </c>
      <c r="B97">
        <v>12</v>
      </c>
      <c r="C97">
        <v>3.1353758216240699</v>
      </c>
      <c r="D97">
        <f>SUM(C86:C97)</f>
        <v>997.92822779559106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37A9E-40BA-496D-9B54-264F895AB883}">
  <dimension ref="A1:M97"/>
  <sheetViews>
    <sheetView workbookViewId="0">
      <selection activeCell="D76" sqref="D76"/>
    </sheetView>
  </sheetViews>
  <sheetFormatPr baseColWidth="10" defaultColWidth="8.83203125" defaultRowHeight="15" x14ac:dyDescent="0.2"/>
  <cols>
    <col min="4" max="4" width="26.5" bestFit="1" customWidth="1"/>
    <col min="8" max="8" width="10.5" bestFit="1" customWidth="1"/>
    <col min="9" max="9" width="23.5" bestFit="1" customWidth="1"/>
    <col min="10" max="10" width="11.83203125" bestFit="1" customWidth="1"/>
    <col min="11" max="11" width="10.33203125" bestFit="1" customWidth="1"/>
    <col min="12" max="12" width="11.83203125" bestFit="1" customWidth="1"/>
  </cols>
  <sheetData>
    <row r="1" spans="1:13" x14ac:dyDescent="0.2">
      <c r="A1" t="s">
        <v>1</v>
      </c>
      <c r="B1" t="s">
        <v>2</v>
      </c>
      <c r="C1" t="s">
        <v>45</v>
      </c>
      <c r="D1" t="s">
        <v>46</v>
      </c>
      <c r="H1" t="s">
        <v>50</v>
      </c>
      <c r="I1" t="s">
        <v>55</v>
      </c>
      <c r="J1" t="s">
        <v>56</v>
      </c>
      <c r="K1" t="s">
        <v>67</v>
      </c>
      <c r="L1" t="s">
        <v>68</v>
      </c>
      <c r="M1" t="s">
        <v>69</v>
      </c>
    </row>
    <row r="2" spans="1:13" x14ac:dyDescent="0.2">
      <c r="A2" s="20">
        <v>2015</v>
      </c>
      <c r="B2">
        <v>1</v>
      </c>
      <c r="C2">
        <v>31</v>
      </c>
      <c r="D2">
        <f>$M$7*C2</f>
        <v>80.220890636962565</v>
      </c>
      <c r="H2" t="s">
        <v>51</v>
      </c>
      <c r="I2" s="5">
        <v>2.5</v>
      </c>
      <c r="J2" cm="1">
        <f t="array" ref="J2">SUM(SUMIFS($I$10:$I$24,$H$10:$H$24,{"Clay loam"}))</f>
        <v>280490424.03999996</v>
      </c>
      <c r="K2">
        <f>J2/(1000*1000)</f>
        <v>280.49042403999994</v>
      </c>
      <c r="L2">
        <f>(I2*J2)</f>
        <v>701226060.0999999</v>
      </c>
      <c r="M2">
        <f>(L2/$L$7)*I2</f>
        <v>1.2828083557927419</v>
      </c>
    </row>
    <row r="3" spans="1:13" x14ac:dyDescent="0.2">
      <c r="A3" s="20"/>
      <c r="B3">
        <v>2</v>
      </c>
      <c r="C3">
        <v>28</v>
      </c>
      <c r="D3">
        <f t="shared" ref="D3:D66" si="0">$M$7*C3</f>
        <v>72.457578639837166</v>
      </c>
      <c r="H3" t="s">
        <v>52</v>
      </c>
      <c r="I3" s="5">
        <v>2.4900000000000002</v>
      </c>
      <c r="J3" cm="1">
        <f t="array" ref="J3">SUM(SUMIFS($I$10:$I$24,$H$10:$H$24,{"Silt loam"}))</f>
        <v>200060680.72000003</v>
      </c>
      <c r="K3">
        <f t="shared" ref="K3:K6" si="1">J3/(1000*1000)</f>
        <v>200.06068072000002</v>
      </c>
      <c r="L3">
        <f t="shared" ref="L3:L6" si="2">(I3*J3)</f>
        <v>498151094.99280012</v>
      </c>
      <c r="M3">
        <f t="shared" ref="M3:M6" si="3">(L3/$L$7)*I3</f>
        <v>0.90766201339534602</v>
      </c>
    </row>
    <row r="4" spans="1:13" x14ac:dyDescent="0.2">
      <c r="A4" s="20"/>
      <c r="B4">
        <v>3</v>
      </c>
      <c r="C4">
        <v>31</v>
      </c>
      <c r="D4">
        <f t="shared" si="0"/>
        <v>80.220890636962565</v>
      </c>
      <c r="H4" t="s">
        <v>53</v>
      </c>
      <c r="I4" s="5">
        <v>7.26</v>
      </c>
      <c r="J4" cm="1">
        <f t="array" ref="J4">SUM(SUMIFS($I$10:$I$24,$H$10:$H$24,{"Sandy loam"}))</f>
        <v>1844248.97</v>
      </c>
      <c r="K4">
        <f t="shared" si="1"/>
        <v>1.84424897</v>
      </c>
      <c r="L4">
        <f t="shared" si="2"/>
        <v>13389247.5222</v>
      </c>
      <c r="M4">
        <f t="shared" si="3"/>
        <v>7.1130606990169057E-2</v>
      </c>
    </row>
    <row r="5" spans="1:13" x14ac:dyDescent="0.2">
      <c r="A5" s="20"/>
      <c r="B5">
        <v>4</v>
      </c>
      <c r="C5">
        <v>30</v>
      </c>
      <c r="D5">
        <f t="shared" si="0"/>
        <v>77.633119971254104</v>
      </c>
      <c r="H5" t="s">
        <v>54</v>
      </c>
      <c r="I5" s="5">
        <v>1.98</v>
      </c>
      <c r="J5" cm="1">
        <f t="array" ref="J5">SUM(SUMIFS($I$10:$I$24,$H$10:$H$24,{"Clay"}))</f>
        <v>38072849.732000001</v>
      </c>
      <c r="K5">
        <f t="shared" si="1"/>
        <v>38.072849732000002</v>
      </c>
      <c r="L5">
        <f t="shared" si="2"/>
        <v>75384242.469359994</v>
      </c>
      <c r="M5">
        <f t="shared" si="3"/>
        <v>0.10922184011221757</v>
      </c>
    </row>
    <row r="6" spans="1:13" x14ac:dyDescent="0.2">
      <c r="A6" s="20"/>
      <c r="B6">
        <v>5</v>
      </c>
      <c r="C6">
        <v>31</v>
      </c>
      <c r="D6">
        <f t="shared" si="0"/>
        <v>80.220890636962565</v>
      </c>
      <c r="H6" t="s">
        <v>64</v>
      </c>
      <c r="I6" s="5">
        <v>3.78</v>
      </c>
      <c r="J6" cm="1">
        <f t="array" ref="J6">SUM(SUMIFS($I$10:$I$24,$H$10:$H$24,{"Loam"}))</f>
        <v>20749518.629999999</v>
      </c>
      <c r="K6">
        <f t="shared" si="1"/>
        <v>20.749518629999997</v>
      </c>
      <c r="L6">
        <f t="shared" si="2"/>
        <v>78433180.421399996</v>
      </c>
      <c r="M6">
        <f t="shared" si="3"/>
        <v>0.21694784941799555</v>
      </c>
    </row>
    <row r="7" spans="1:13" x14ac:dyDescent="0.2">
      <c r="A7" s="20"/>
      <c r="B7">
        <v>6</v>
      </c>
      <c r="C7">
        <v>30</v>
      </c>
      <c r="D7">
        <f t="shared" si="0"/>
        <v>77.633119971254104</v>
      </c>
      <c r="J7" s="6">
        <f>SUM(J2:J6)</f>
        <v>541217722.09200001</v>
      </c>
      <c r="K7">
        <f>SUM(K2:K6)</f>
        <v>541.21772209199992</v>
      </c>
      <c r="L7">
        <f>SUM(L2:L6)</f>
        <v>1366583825.5057602</v>
      </c>
      <c r="M7">
        <f>SUM(M2:M6)</f>
        <v>2.58777066570847</v>
      </c>
    </row>
    <row r="8" spans="1:13" x14ac:dyDescent="0.2">
      <c r="A8" s="20"/>
      <c r="B8">
        <v>7</v>
      </c>
      <c r="C8">
        <v>31</v>
      </c>
      <c r="D8">
        <f t="shared" si="0"/>
        <v>80.220890636962565</v>
      </c>
    </row>
    <row r="9" spans="1:13" x14ac:dyDescent="0.2">
      <c r="A9" s="20"/>
      <c r="B9">
        <v>8</v>
      </c>
      <c r="C9">
        <v>31</v>
      </c>
      <c r="D9">
        <f t="shared" si="0"/>
        <v>80.220890636962565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</row>
    <row r="10" spans="1:13" x14ac:dyDescent="0.2">
      <c r="A10" s="20"/>
      <c r="B10">
        <v>9</v>
      </c>
      <c r="C10">
        <v>30</v>
      </c>
      <c r="D10">
        <f t="shared" si="0"/>
        <v>77.633119971254104</v>
      </c>
      <c r="H10" t="s">
        <v>62</v>
      </c>
      <c r="I10">
        <v>32472875.32</v>
      </c>
      <c r="J10">
        <v>1.98</v>
      </c>
      <c r="K10">
        <v>722.7</v>
      </c>
      <c r="L10">
        <v>724.68</v>
      </c>
    </row>
    <row r="11" spans="1:13" x14ac:dyDescent="0.2">
      <c r="A11" s="20"/>
      <c r="B11">
        <v>10</v>
      </c>
      <c r="C11">
        <v>31</v>
      </c>
      <c r="D11">
        <f t="shared" si="0"/>
        <v>80.220890636962565</v>
      </c>
      <c r="H11" t="s">
        <v>62</v>
      </c>
      <c r="I11">
        <v>5599974.4119999995</v>
      </c>
      <c r="J11">
        <v>1.98</v>
      </c>
      <c r="K11">
        <v>722.7</v>
      </c>
      <c r="L11">
        <v>724.68</v>
      </c>
    </row>
    <row r="12" spans="1:13" x14ac:dyDescent="0.2">
      <c r="A12" s="20"/>
      <c r="B12">
        <v>11</v>
      </c>
      <c r="C12">
        <v>30</v>
      </c>
      <c r="D12">
        <f t="shared" si="0"/>
        <v>77.633119971254104</v>
      </c>
      <c r="H12" t="s">
        <v>63</v>
      </c>
      <c r="I12">
        <v>17082601.100000001</v>
      </c>
      <c r="J12">
        <v>2.5</v>
      </c>
      <c r="K12">
        <v>912.5</v>
      </c>
      <c r="L12">
        <v>915</v>
      </c>
    </row>
    <row r="13" spans="1:13" x14ac:dyDescent="0.2">
      <c r="A13" s="20"/>
      <c r="B13">
        <v>12</v>
      </c>
      <c r="C13">
        <v>31</v>
      </c>
      <c r="D13">
        <f t="shared" si="0"/>
        <v>80.220890636962565</v>
      </c>
      <c r="H13" t="s">
        <v>63</v>
      </c>
      <c r="I13">
        <v>34097941.340000004</v>
      </c>
      <c r="J13">
        <v>2.5</v>
      </c>
      <c r="K13">
        <v>912.5</v>
      </c>
      <c r="L13">
        <v>915</v>
      </c>
    </row>
    <row r="14" spans="1:13" x14ac:dyDescent="0.2">
      <c r="A14" s="20">
        <v>2016</v>
      </c>
      <c r="B14">
        <v>1</v>
      </c>
      <c r="C14">
        <v>31</v>
      </c>
      <c r="D14">
        <f t="shared" si="0"/>
        <v>80.220890636962565</v>
      </c>
      <c r="H14" t="s">
        <v>63</v>
      </c>
      <c r="I14">
        <v>195148106.69999999</v>
      </c>
      <c r="J14">
        <v>2.5</v>
      </c>
      <c r="K14">
        <v>912.5</v>
      </c>
      <c r="L14">
        <v>915</v>
      </c>
    </row>
    <row r="15" spans="1:13" x14ac:dyDescent="0.2">
      <c r="A15" s="20"/>
      <c r="B15">
        <v>2</v>
      </c>
      <c r="C15">
        <v>29</v>
      </c>
      <c r="D15">
        <f t="shared" si="0"/>
        <v>75.045349305545628</v>
      </c>
      <c r="H15" t="s">
        <v>63</v>
      </c>
      <c r="I15">
        <v>34161774.899999999</v>
      </c>
      <c r="J15">
        <v>2.5</v>
      </c>
      <c r="K15">
        <v>912.5</v>
      </c>
      <c r="L15">
        <v>915</v>
      </c>
    </row>
    <row r="16" spans="1:13" x14ac:dyDescent="0.2">
      <c r="A16" s="20"/>
      <c r="B16">
        <v>3</v>
      </c>
      <c r="C16">
        <v>31</v>
      </c>
      <c r="D16">
        <f t="shared" si="0"/>
        <v>80.220890636962565</v>
      </c>
      <c r="H16" t="s">
        <v>53</v>
      </c>
      <c r="I16">
        <v>2411433.983</v>
      </c>
      <c r="J16">
        <v>7.26</v>
      </c>
      <c r="K16">
        <v>2649.9</v>
      </c>
      <c r="L16">
        <v>2657.16</v>
      </c>
    </row>
    <row r="17" spans="1:12" x14ac:dyDescent="0.2">
      <c r="A17" s="20"/>
      <c r="B17">
        <v>4</v>
      </c>
      <c r="C17">
        <v>30</v>
      </c>
      <c r="D17">
        <f t="shared" si="0"/>
        <v>77.633119971254104</v>
      </c>
      <c r="H17" t="s">
        <v>53</v>
      </c>
      <c r="I17">
        <v>1135706.1850000001</v>
      </c>
      <c r="J17">
        <v>7.26</v>
      </c>
      <c r="K17">
        <v>2649.9</v>
      </c>
      <c r="L17">
        <v>2657.16</v>
      </c>
    </row>
    <row r="18" spans="1:12" x14ac:dyDescent="0.2">
      <c r="A18" s="20"/>
      <c r="B18">
        <v>5</v>
      </c>
      <c r="C18">
        <v>31</v>
      </c>
      <c r="D18">
        <f t="shared" si="0"/>
        <v>80.220890636962565</v>
      </c>
      <c r="H18" t="s">
        <v>53</v>
      </c>
      <c r="I18">
        <v>480921.56</v>
      </c>
      <c r="J18">
        <v>7.26</v>
      </c>
      <c r="K18">
        <v>2649.9</v>
      </c>
      <c r="L18">
        <v>2657.16</v>
      </c>
    </row>
    <row r="19" spans="1:12" x14ac:dyDescent="0.2">
      <c r="A19" s="20"/>
      <c r="B19">
        <v>6</v>
      </c>
      <c r="C19">
        <v>30</v>
      </c>
      <c r="D19">
        <f t="shared" si="0"/>
        <v>77.633119971254104</v>
      </c>
      <c r="H19" t="s">
        <v>64</v>
      </c>
      <c r="I19">
        <v>20749518.629999999</v>
      </c>
      <c r="J19">
        <v>3.78</v>
      </c>
      <c r="K19">
        <v>908.85</v>
      </c>
      <c r="L19">
        <v>911.34</v>
      </c>
    </row>
    <row r="20" spans="1:12" x14ac:dyDescent="0.2">
      <c r="A20" s="20"/>
      <c r="B20">
        <v>7</v>
      </c>
      <c r="C20">
        <v>31</v>
      </c>
      <c r="D20">
        <f t="shared" si="0"/>
        <v>80.220890636962565</v>
      </c>
      <c r="H20" t="s">
        <v>65</v>
      </c>
      <c r="I20">
        <v>1844248.97</v>
      </c>
      <c r="J20">
        <v>7.26</v>
      </c>
      <c r="K20">
        <v>2649.9</v>
      </c>
      <c r="L20">
        <v>2657.16</v>
      </c>
    </row>
    <row r="21" spans="1:12" x14ac:dyDescent="0.2">
      <c r="A21" s="20"/>
      <c r="B21">
        <v>8</v>
      </c>
      <c r="C21">
        <v>31</v>
      </c>
      <c r="D21">
        <f t="shared" si="0"/>
        <v>80.220890636962565</v>
      </c>
      <c r="H21" t="s">
        <v>66</v>
      </c>
      <c r="I21">
        <v>4729728.9000000004</v>
      </c>
      <c r="J21">
        <v>2.4900000000000002</v>
      </c>
      <c r="K21">
        <v>908.85</v>
      </c>
      <c r="L21">
        <v>911.34</v>
      </c>
    </row>
    <row r="22" spans="1:12" x14ac:dyDescent="0.2">
      <c r="A22" s="20"/>
      <c r="B22">
        <v>9</v>
      </c>
      <c r="C22">
        <v>30</v>
      </c>
      <c r="D22">
        <f t="shared" si="0"/>
        <v>77.633119971254104</v>
      </c>
      <c r="H22" t="s">
        <v>66</v>
      </c>
      <c r="I22">
        <v>135298846.80000001</v>
      </c>
      <c r="J22">
        <v>2.4900000000000002</v>
      </c>
      <c r="K22">
        <v>908.85</v>
      </c>
      <c r="L22">
        <v>911.34</v>
      </c>
    </row>
    <row r="23" spans="1:12" x14ac:dyDescent="0.2">
      <c r="A23" s="20"/>
      <c r="B23">
        <v>10</v>
      </c>
      <c r="C23">
        <v>31</v>
      </c>
      <c r="D23">
        <f t="shared" si="0"/>
        <v>80.220890636962565</v>
      </c>
      <c r="H23" t="s">
        <v>66</v>
      </c>
      <c r="I23">
        <v>23095142.809999999</v>
      </c>
      <c r="J23">
        <v>2.4900000000000002</v>
      </c>
      <c r="K23">
        <v>908.85</v>
      </c>
      <c r="L23">
        <v>911.34</v>
      </c>
    </row>
    <row r="24" spans="1:12" x14ac:dyDescent="0.2">
      <c r="A24" s="20"/>
      <c r="B24">
        <v>11</v>
      </c>
      <c r="C24">
        <v>30</v>
      </c>
      <c r="D24">
        <f t="shared" si="0"/>
        <v>77.633119971254104</v>
      </c>
      <c r="H24" t="s">
        <v>66</v>
      </c>
      <c r="I24">
        <v>36936962.210000001</v>
      </c>
      <c r="J24">
        <v>2.4900000000000002</v>
      </c>
      <c r="K24">
        <v>908.85</v>
      </c>
      <c r="L24">
        <v>911.34</v>
      </c>
    </row>
    <row r="25" spans="1:12" x14ac:dyDescent="0.2">
      <c r="A25" s="20"/>
      <c r="B25">
        <v>12</v>
      </c>
      <c r="C25">
        <v>31</v>
      </c>
      <c r="D25">
        <f t="shared" si="0"/>
        <v>80.220890636962565</v>
      </c>
      <c r="I25" s="6">
        <f>SUM(I10:I24)</f>
        <v>545245783.81999993</v>
      </c>
    </row>
    <row r="26" spans="1:12" x14ac:dyDescent="0.2">
      <c r="A26" s="20">
        <v>2017</v>
      </c>
      <c r="B26">
        <v>1</v>
      </c>
      <c r="C26">
        <v>31</v>
      </c>
      <c r="D26">
        <f t="shared" si="0"/>
        <v>80.220890636962565</v>
      </c>
    </row>
    <row r="27" spans="1:12" x14ac:dyDescent="0.2">
      <c r="A27" s="20"/>
      <c r="B27">
        <v>2</v>
      </c>
      <c r="C27">
        <v>28</v>
      </c>
      <c r="D27">
        <f t="shared" si="0"/>
        <v>72.457578639837166</v>
      </c>
    </row>
    <row r="28" spans="1:12" x14ac:dyDescent="0.2">
      <c r="A28" s="20"/>
      <c r="B28">
        <v>3</v>
      </c>
      <c r="C28">
        <v>31</v>
      </c>
      <c r="D28">
        <f t="shared" si="0"/>
        <v>80.220890636962565</v>
      </c>
    </row>
    <row r="29" spans="1:12" x14ac:dyDescent="0.2">
      <c r="A29" s="20"/>
      <c r="B29">
        <v>4</v>
      </c>
      <c r="C29">
        <v>30</v>
      </c>
      <c r="D29">
        <f t="shared" si="0"/>
        <v>77.633119971254104</v>
      </c>
    </row>
    <row r="30" spans="1:12" x14ac:dyDescent="0.2">
      <c r="A30" s="20"/>
      <c r="B30">
        <v>5</v>
      </c>
      <c r="C30">
        <v>31</v>
      </c>
      <c r="D30">
        <f t="shared" si="0"/>
        <v>80.220890636962565</v>
      </c>
    </row>
    <row r="31" spans="1:12" x14ac:dyDescent="0.2">
      <c r="A31" s="20"/>
      <c r="B31">
        <v>6</v>
      </c>
      <c r="C31">
        <v>30</v>
      </c>
      <c r="D31">
        <f t="shared" si="0"/>
        <v>77.633119971254104</v>
      </c>
    </row>
    <row r="32" spans="1:12" x14ac:dyDescent="0.2">
      <c r="A32" s="20"/>
      <c r="B32">
        <v>7</v>
      </c>
      <c r="C32">
        <v>31</v>
      </c>
      <c r="D32">
        <f t="shared" si="0"/>
        <v>80.220890636962565</v>
      </c>
    </row>
    <row r="33" spans="1:4" x14ac:dyDescent="0.2">
      <c r="A33" s="20"/>
      <c r="B33">
        <v>8</v>
      </c>
      <c r="C33">
        <v>31</v>
      </c>
      <c r="D33">
        <f t="shared" si="0"/>
        <v>80.220890636962565</v>
      </c>
    </row>
    <row r="34" spans="1:4" x14ac:dyDescent="0.2">
      <c r="A34" s="20"/>
      <c r="B34">
        <v>9</v>
      </c>
      <c r="C34">
        <v>30</v>
      </c>
      <c r="D34">
        <f t="shared" si="0"/>
        <v>77.633119971254104</v>
      </c>
    </row>
    <row r="35" spans="1:4" x14ac:dyDescent="0.2">
      <c r="A35" s="20"/>
      <c r="B35">
        <v>10</v>
      </c>
      <c r="C35">
        <v>31</v>
      </c>
      <c r="D35">
        <f t="shared" si="0"/>
        <v>80.220890636962565</v>
      </c>
    </row>
    <row r="36" spans="1:4" x14ac:dyDescent="0.2">
      <c r="A36" s="20"/>
      <c r="B36">
        <v>11</v>
      </c>
      <c r="C36">
        <v>30</v>
      </c>
      <c r="D36">
        <f t="shared" si="0"/>
        <v>77.633119971254104</v>
      </c>
    </row>
    <row r="37" spans="1:4" x14ac:dyDescent="0.2">
      <c r="A37" s="20"/>
      <c r="B37">
        <v>12</v>
      </c>
      <c r="C37">
        <v>31</v>
      </c>
      <c r="D37">
        <f t="shared" si="0"/>
        <v>80.220890636962565</v>
      </c>
    </row>
    <row r="38" spans="1:4" x14ac:dyDescent="0.2">
      <c r="A38" s="20">
        <v>2018</v>
      </c>
      <c r="B38">
        <v>1</v>
      </c>
      <c r="C38">
        <v>31</v>
      </c>
      <c r="D38">
        <f t="shared" si="0"/>
        <v>80.220890636962565</v>
      </c>
    </row>
    <row r="39" spans="1:4" x14ac:dyDescent="0.2">
      <c r="A39" s="20"/>
      <c r="B39">
        <v>2</v>
      </c>
      <c r="C39">
        <v>28</v>
      </c>
      <c r="D39">
        <f t="shared" si="0"/>
        <v>72.457578639837166</v>
      </c>
    </row>
    <row r="40" spans="1:4" x14ac:dyDescent="0.2">
      <c r="A40" s="20"/>
      <c r="B40">
        <v>3</v>
      </c>
      <c r="C40">
        <v>31</v>
      </c>
      <c r="D40">
        <f t="shared" si="0"/>
        <v>80.220890636962565</v>
      </c>
    </row>
    <row r="41" spans="1:4" x14ac:dyDescent="0.2">
      <c r="A41" s="20"/>
      <c r="B41">
        <v>4</v>
      </c>
      <c r="C41">
        <v>30</v>
      </c>
      <c r="D41">
        <f t="shared" si="0"/>
        <v>77.633119971254104</v>
      </c>
    </row>
    <row r="42" spans="1:4" x14ac:dyDescent="0.2">
      <c r="A42" s="20"/>
      <c r="B42">
        <v>5</v>
      </c>
      <c r="C42">
        <v>31</v>
      </c>
      <c r="D42">
        <f t="shared" si="0"/>
        <v>80.220890636962565</v>
      </c>
    </row>
    <row r="43" spans="1:4" x14ac:dyDescent="0.2">
      <c r="A43" s="20"/>
      <c r="B43" s="13">
        <v>6</v>
      </c>
      <c r="C43" s="13">
        <v>30</v>
      </c>
      <c r="D43" s="13">
        <f t="shared" si="0"/>
        <v>77.633119971254104</v>
      </c>
    </row>
    <row r="44" spans="1:4" x14ac:dyDescent="0.2">
      <c r="A44" s="20"/>
      <c r="B44">
        <v>7</v>
      </c>
      <c r="C44">
        <v>31</v>
      </c>
      <c r="D44">
        <f t="shared" si="0"/>
        <v>80.220890636962565</v>
      </c>
    </row>
    <row r="45" spans="1:4" x14ac:dyDescent="0.2">
      <c r="A45" s="20"/>
      <c r="B45">
        <v>8</v>
      </c>
      <c r="C45">
        <v>31</v>
      </c>
      <c r="D45">
        <f t="shared" si="0"/>
        <v>80.220890636962565</v>
      </c>
    </row>
    <row r="46" spans="1:4" x14ac:dyDescent="0.2">
      <c r="A46" s="20"/>
      <c r="B46">
        <v>9</v>
      </c>
      <c r="C46">
        <v>30</v>
      </c>
      <c r="D46">
        <f t="shared" si="0"/>
        <v>77.633119971254104</v>
      </c>
    </row>
    <row r="47" spans="1:4" x14ac:dyDescent="0.2">
      <c r="A47" s="20"/>
      <c r="B47">
        <v>10</v>
      </c>
      <c r="C47">
        <v>31</v>
      </c>
      <c r="D47">
        <f t="shared" si="0"/>
        <v>80.220890636962565</v>
      </c>
    </row>
    <row r="48" spans="1:4" x14ac:dyDescent="0.2">
      <c r="A48" s="20"/>
      <c r="B48">
        <v>11</v>
      </c>
      <c r="C48">
        <v>30</v>
      </c>
      <c r="D48">
        <f t="shared" si="0"/>
        <v>77.633119971254104</v>
      </c>
    </row>
    <row r="49" spans="1:4" x14ac:dyDescent="0.2">
      <c r="A49" s="20"/>
      <c r="B49">
        <v>12</v>
      </c>
      <c r="C49">
        <v>31</v>
      </c>
      <c r="D49">
        <f t="shared" si="0"/>
        <v>80.220890636962565</v>
      </c>
    </row>
    <row r="50" spans="1:4" x14ac:dyDescent="0.2">
      <c r="A50" s="20">
        <v>2019</v>
      </c>
      <c r="B50">
        <v>1</v>
      </c>
      <c r="C50">
        <v>31</v>
      </c>
      <c r="D50">
        <f t="shared" si="0"/>
        <v>80.220890636962565</v>
      </c>
    </row>
    <row r="51" spans="1:4" x14ac:dyDescent="0.2">
      <c r="A51" s="20"/>
      <c r="B51">
        <v>2</v>
      </c>
      <c r="C51">
        <v>28</v>
      </c>
      <c r="D51">
        <f t="shared" si="0"/>
        <v>72.457578639837166</v>
      </c>
    </row>
    <row r="52" spans="1:4" x14ac:dyDescent="0.2">
      <c r="A52" s="20"/>
      <c r="B52">
        <v>3</v>
      </c>
      <c r="C52">
        <v>31</v>
      </c>
      <c r="D52">
        <f t="shared" si="0"/>
        <v>80.220890636962565</v>
      </c>
    </row>
    <row r="53" spans="1:4" x14ac:dyDescent="0.2">
      <c r="A53" s="20"/>
      <c r="B53">
        <v>4</v>
      </c>
      <c r="C53">
        <v>30</v>
      </c>
      <c r="D53">
        <f t="shared" si="0"/>
        <v>77.633119971254104</v>
      </c>
    </row>
    <row r="54" spans="1:4" x14ac:dyDescent="0.2">
      <c r="A54" s="20"/>
      <c r="B54">
        <v>5</v>
      </c>
      <c r="C54">
        <v>31</v>
      </c>
      <c r="D54">
        <f t="shared" si="0"/>
        <v>80.220890636962565</v>
      </c>
    </row>
    <row r="55" spans="1:4" x14ac:dyDescent="0.2">
      <c r="A55" s="20"/>
      <c r="B55" s="13">
        <v>6</v>
      </c>
      <c r="C55" s="13">
        <v>30</v>
      </c>
      <c r="D55" s="13">
        <f t="shared" si="0"/>
        <v>77.633119971254104</v>
      </c>
    </row>
    <row r="56" spans="1:4" x14ac:dyDescent="0.2">
      <c r="A56" s="20"/>
      <c r="B56">
        <v>7</v>
      </c>
      <c r="C56">
        <v>31</v>
      </c>
      <c r="D56">
        <f t="shared" si="0"/>
        <v>80.220890636962565</v>
      </c>
    </row>
    <row r="57" spans="1:4" x14ac:dyDescent="0.2">
      <c r="A57" s="20"/>
      <c r="B57">
        <v>8</v>
      </c>
      <c r="C57">
        <v>31</v>
      </c>
      <c r="D57">
        <f t="shared" si="0"/>
        <v>80.220890636962565</v>
      </c>
    </row>
    <row r="58" spans="1:4" x14ac:dyDescent="0.2">
      <c r="A58" s="20"/>
      <c r="B58">
        <v>9</v>
      </c>
      <c r="C58">
        <v>30</v>
      </c>
      <c r="D58">
        <f t="shared" si="0"/>
        <v>77.633119971254104</v>
      </c>
    </row>
    <row r="59" spans="1:4" x14ac:dyDescent="0.2">
      <c r="A59" s="20"/>
      <c r="B59">
        <v>10</v>
      </c>
      <c r="C59">
        <v>31</v>
      </c>
      <c r="D59">
        <f t="shared" si="0"/>
        <v>80.220890636962565</v>
      </c>
    </row>
    <row r="60" spans="1:4" x14ac:dyDescent="0.2">
      <c r="A60" s="20"/>
      <c r="B60">
        <v>11</v>
      </c>
      <c r="C60">
        <v>30</v>
      </c>
      <c r="D60">
        <f t="shared" si="0"/>
        <v>77.633119971254104</v>
      </c>
    </row>
    <row r="61" spans="1:4" x14ac:dyDescent="0.2">
      <c r="A61" s="20"/>
      <c r="B61">
        <v>12</v>
      </c>
      <c r="C61">
        <v>31</v>
      </c>
      <c r="D61">
        <f t="shared" si="0"/>
        <v>80.220890636962565</v>
      </c>
    </row>
    <row r="62" spans="1:4" x14ac:dyDescent="0.2">
      <c r="A62" s="20">
        <v>2020</v>
      </c>
      <c r="B62">
        <v>1</v>
      </c>
      <c r="C62">
        <v>31</v>
      </c>
      <c r="D62">
        <f t="shared" si="0"/>
        <v>80.220890636962565</v>
      </c>
    </row>
    <row r="63" spans="1:4" x14ac:dyDescent="0.2">
      <c r="A63" s="20"/>
      <c r="B63">
        <v>2</v>
      </c>
      <c r="C63">
        <v>29</v>
      </c>
      <c r="D63">
        <f t="shared" si="0"/>
        <v>75.045349305545628</v>
      </c>
    </row>
    <row r="64" spans="1:4" x14ac:dyDescent="0.2">
      <c r="A64" s="20"/>
      <c r="B64">
        <v>3</v>
      </c>
      <c r="C64">
        <v>31</v>
      </c>
      <c r="D64">
        <f t="shared" si="0"/>
        <v>80.220890636962565</v>
      </c>
    </row>
    <row r="65" spans="1:4" x14ac:dyDescent="0.2">
      <c r="A65" s="20"/>
      <c r="B65">
        <v>4</v>
      </c>
      <c r="C65">
        <v>30</v>
      </c>
      <c r="D65">
        <f t="shared" si="0"/>
        <v>77.633119971254104</v>
      </c>
    </row>
    <row r="66" spans="1:4" x14ac:dyDescent="0.2">
      <c r="A66" s="20"/>
      <c r="B66">
        <v>5</v>
      </c>
      <c r="C66">
        <v>31</v>
      </c>
      <c r="D66">
        <f t="shared" si="0"/>
        <v>80.220890636962565</v>
      </c>
    </row>
    <row r="67" spans="1:4" x14ac:dyDescent="0.2">
      <c r="A67" s="20"/>
      <c r="B67">
        <v>6</v>
      </c>
      <c r="C67">
        <v>30</v>
      </c>
      <c r="D67">
        <f t="shared" ref="D67:D97" si="4">$M$7*C67</f>
        <v>77.633119971254104</v>
      </c>
    </row>
    <row r="68" spans="1:4" x14ac:dyDescent="0.2">
      <c r="A68" s="20"/>
      <c r="B68">
        <v>7</v>
      </c>
      <c r="C68">
        <v>31</v>
      </c>
      <c r="D68">
        <f t="shared" si="4"/>
        <v>80.220890636962565</v>
      </c>
    </row>
    <row r="69" spans="1:4" x14ac:dyDescent="0.2">
      <c r="A69" s="20"/>
      <c r="B69">
        <v>8</v>
      </c>
      <c r="C69">
        <v>31</v>
      </c>
      <c r="D69">
        <f t="shared" si="4"/>
        <v>80.220890636962565</v>
      </c>
    </row>
    <row r="70" spans="1:4" x14ac:dyDescent="0.2">
      <c r="A70" s="20"/>
      <c r="B70">
        <v>9</v>
      </c>
      <c r="C70">
        <v>30</v>
      </c>
      <c r="D70">
        <f t="shared" si="4"/>
        <v>77.633119971254104</v>
      </c>
    </row>
    <row r="71" spans="1:4" x14ac:dyDescent="0.2">
      <c r="A71" s="20"/>
      <c r="B71">
        <v>10</v>
      </c>
      <c r="C71">
        <v>31</v>
      </c>
      <c r="D71">
        <f t="shared" si="4"/>
        <v>80.220890636962565</v>
      </c>
    </row>
    <row r="72" spans="1:4" x14ac:dyDescent="0.2">
      <c r="A72" s="20"/>
      <c r="B72">
        <v>11</v>
      </c>
      <c r="C72">
        <v>30</v>
      </c>
      <c r="D72">
        <f t="shared" si="4"/>
        <v>77.633119971254104</v>
      </c>
    </row>
    <row r="73" spans="1:4" x14ac:dyDescent="0.2">
      <c r="A73" s="20"/>
      <c r="B73">
        <v>12</v>
      </c>
      <c r="C73">
        <v>31</v>
      </c>
      <c r="D73">
        <f t="shared" si="4"/>
        <v>80.220890636962565</v>
      </c>
    </row>
    <row r="74" spans="1:4" x14ac:dyDescent="0.2">
      <c r="A74" s="20">
        <v>2021</v>
      </c>
      <c r="B74">
        <v>1</v>
      </c>
      <c r="C74">
        <v>31</v>
      </c>
      <c r="D74">
        <f t="shared" si="4"/>
        <v>80.220890636962565</v>
      </c>
    </row>
    <row r="75" spans="1:4" x14ac:dyDescent="0.2">
      <c r="A75" s="20"/>
      <c r="B75">
        <v>2</v>
      </c>
      <c r="C75">
        <v>28</v>
      </c>
      <c r="D75">
        <f t="shared" si="4"/>
        <v>72.457578639837166</v>
      </c>
    </row>
    <row r="76" spans="1:4" x14ac:dyDescent="0.2">
      <c r="A76" s="20"/>
      <c r="B76">
        <v>3</v>
      </c>
      <c r="C76">
        <v>31</v>
      </c>
      <c r="D76">
        <f t="shared" si="4"/>
        <v>80.220890636962565</v>
      </c>
    </row>
    <row r="77" spans="1:4" x14ac:dyDescent="0.2">
      <c r="A77" s="20"/>
      <c r="B77">
        <v>4</v>
      </c>
      <c r="C77">
        <v>30</v>
      </c>
      <c r="D77">
        <f t="shared" si="4"/>
        <v>77.633119971254104</v>
      </c>
    </row>
    <row r="78" spans="1:4" x14ac:dyDescent="0.2">
      <c r="A78" s="20"/>
      <c r="B78">
        <v>5</v>
      </c>
      <c r="C78">
        <v>31</v>
      </c>
      <c r="D78">
        <f t="shared" si="4"/>
        <v>80.220890636962565</v>
      </c>
    </row>
    <row r="79" spans="1:4" x14ac:dyDescent="0.2">
      <c r="A79" s="20"/>
      <c r="B79">
        <v>6</v>
      </c>
      <c r="C79">
        <v>30</v>
      </c>
      <c r="D79">
        <f t="shared" si="4"/>
        <v>77.633119971254104</v>
      </c>
    </row>
    <row r="80" spans="1:4" x14ac:dyDescent="0.2">
      <c r="A80" s="20"/>
      <c r="B80">
        <v>7</v>
      </c>
      <c r="C80">
        <v>31</v>
      </c>
      <c r="D80">
        <f t="shared" si="4"/>
        <v>80.220890636962565</v>
      </c>
    </row>
    <row r="81" spans="1:4" x14ac:dyDescent="0.2">
      <c r="A81" s="20"/>
      <c r="B81">
        <v>8</v>
      </c>
      <c r="C81">
        <v>31</v>
      </c>
      <c r="D81">
        <f t="shared" si="4"/>
        <v>80.220890636962565</v>
      </c>
    </row>
    <row r="82" spans="1:4" x14ac:dyDescent="0.2">
      <c r="A82" s="20"/>
      <c r="B82">
        <v>9</v>
      </c>
      <c r="C82">
        <v>30</v>
      </c>
      <c r="D82">
        <f t="shared" si="4"/>
        <v>77.633119971254104</v>
      </c>
    </row>
    <row r="83" spans="1:4" x14ac:dyDescent="0.2">
      <c r="A83" s="20"/>
      <c r="B83">
        <v>10</v>
      </c>
      <c r="C83">
        <v>31</v>
      </c>
      <c r="D83">
        <f t="shared" si="4"/>
        <v>80.220890636962565</v>
      </c>
    </row>
    <row r="84" spans="1:4" x14ac:dyDescent="0.2">
      <c r="A84" s="20"/>
      <c r="B84">
        <v>11</v>
      </c>
      <c r="C84">
        <v>30</v>
      </c>
      <c r="D84">
        <f t="shared" si="4"/>
        <v>77.633119971254104</v>
      </c>
    </row>
    <row r="85" spans="1:4" x14ac:dyDescent="0.2">
      <c r="A85" s="20"/>
      <c r="B85">
        <v>12</v>
      </c>
      <c r="C85">
        <v>31</v>
      </c>
      <c r="D85">
        <f t="shared" si="4"/>
        <v>80.220890636962565</v>
      </c>
    </row>
    <row r="86" spans="1:4" x14ac:dyDescent="0.2">
      <c r="A86" s="20">
        <v>2022</v>
      </c>
      <c r="B86">
        <v>1</v>
      </c>
      <c r="C86">
        <v>31</v>
      </c>
      <c r="D86">
        <f t="shared" si="4"/>
        <v>80.220890636962565</v>
      </c>
    </row>
    <row r="87" spans="1:4" x14ac:dyDescent="0.2">
      <c r="A87" s="20"/>
      <c r="B87">
        <v>2</v>
      </c>
      <c r="C87">
        <v>28</v>
      </c>
      <c r="D87">
        <f t="shared" si="4"/>
        <v>72.457578639837166</v>
      </c>
    </row>
    <row r="88" spans="1:4" x14ac:dyDescent="0.2">
      <c r="A88" s="20"/>
      <c r="B88">
        <v>3</v>
      </c>
      <c r="C88">
        <v>31</v>
      </c>
      <c r="D88">
        <f t="shared" si="4"/>
        <v>80.220890636962565</v>
      </c>
    </row>
    <row r="89" spans="1:4" x14ac:dyDescent="0.2">
      <c r="A89" s="20"/>
      <c r="B89" s="13">
        <v>4</v>
      </c>
      <c r="C89" s="13">
        <v>30</v>
      </c>
      <c r="D89" s="13">
        <f t="shared" si="4"/>
        <v>77.633119971254104</v>
      </c>
    </row>
    <row r="90" spans="1:4" x14ac:dyDescent="0.2">
      <c r="A90" s="20"/>
      <c r="B90" s="13">
        <v>5</v>
      </c>
      <c r="C90" s="13">
        <v>31</v>
      </c>
      <c r="D90" s="13">
        <f t="shared" si="4"/>
        <v>80.220890636962565</v>
      </c>
    </row>
    <row r="91" spans="1:4" x14ac:dyDescent="0.2">
      <c r="A91" s="20"/>
      <c r="B91">
        <v>6</v>
      </c>
      <c r="C91">
        <v>30</v>
      </c>
      <c r="D91">
        <f t="shared" si="4"/>
        <v>77.633119971254104</v>
      </c>
    </row>
    <row r="92" spans="1:4" x14ac:dyDescent="0.2">
      <c r="A92" s="20"/>
      <c r="B92">
        <v>7</v>
      </c>
      <c r="C92">
        <v>31</v>
      </c>
      <c r="D92">
        <f t="shared" si="4"/>
        <v>80.220890636962565</v>
      </c>
    </row>
    <row r="93" spans="1:4" x14ac:dyDescent="0.2">
      <c r="A93" s="20"/>
      <c r="B93">
        <v>8</v>
      </c>
      <c r="C93">
        <v>31</v>
      </c>
      <c r="D93">
        <f t="shared" si="4"/>
        <v>80.220890636962565</v>
      </c>
    </row>
    <row r="94" spans="1:4" x14ac:dyDescent="0.2">
      <c r="A94" s="20"/>
      <c r="B94">
        <v>9</v>
      </c>
      <c r="C94">
        <v>30</v>
      </c>
      <c r="D94">
        <f t="shared" si="4"/>
        <v>77.633119971254104</v>
      </c>
    </row>
    <row r="95" spans="1:4" x14ac:dyDescent="0.2">
      <c r="A95" s="20"/>
      <c r="B95">
        <v>10</v>
      </c>
      <c r="C95">
        <v>31</v>
      </c>
      <c r="D95">
        <f t="shared" si="4"/>
        <v>80.220890636962565</v>
      </c>
    </row>
    <row r="96" spans="1:4" x14ac:dyDescent="0.2">
      <c r="A96" s="20"/>
      <c r="B96">
        <v>11</v>
      </c>
      <c r="C96">
        <v>30</v>
      </c>
      <c r="D96">
        <f t="shared" si="4"/>
        <v>77.633119971254104</v>
      </c>
    </row>
    <row r="97" spans="1:4" x14ac:dyDescent="0.2">
      <c r="A97" s="20"/>
      <c r="B97">
        <v>12</v>
      </c>
      <c r="C97">
        <v>31</v>
      </c>
      <c r="D97">
        <f t="shared" si="4"/>
        <v>80.220890636962565</v>
      </c>
    </row>
  </sheetData>
  <mergeCells count="8">
    <mergeCell ref="A74:A85"/>
    <mergeCell ref="A86:A97"/>
    <mergeCell ref="A2:A13"/>
    <mergeCell ref="A14:A25"/>
    <mergeCell ref="A26:A37"/>
    <mergeCell ref="A38:A49"/>
    <mergeCell ref="A50:A61"/>
    <mergeCell ref="A62:A7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C0B5-2FB5-4B96-9E2F-F0BF4B05150A}">
  <dimension ref="A1:D66"/>
  <sheetViews>
    <sheetView topLeftCell="A37" workbookViewId="0">
      <selection activeCell="B19" sqref="B19:C19"/>
    </sheetView>
  </sheetViews>
  <sheetFormatPr baseColWidth="10" defaultColWidth="8.83203125" defaultRowHeight="15" x14ac:dyDescent="0.2"/>
  <sheetData>
    <row r="1" spans="1:4" x14ac:dyDescent="0.2">
      <c r="A1" t="s">
        <v>1</v>
      </c>
      <c r="B1" t="s">
        <v>2</v>
      </c>
      <c r="C1" t="s">
        <v>47</v>
      </c>
      <c r="D1" t="s">
        <v>70</v>
      </c>
    </row>
    <row r="2" spans="1:4" x14ac:dyDescent="0.2">
      <c r="A2" s="20">
        <v>2018</v>
      </c>
      <c r="B2">
        <v>1</v>
      </c>
      <c r="C2">
        <v>88.28</v>
      </c>
    </row>
    <row r="3" spans="1:4" x14ac:dyDescent="0.2">
      <c r="A3" s="20"/>
      <c r="B3">
        <v>2</v>
      </c>
      <c r="C3">
        <v>113.04</v>
      </c>
    </row>
    <row r="4" spans="1:4" x14ac:dyDescent="0.2">
      <c r="A4" s="20"/>
      <c r="B4">
        <v>3</v>
      </c>
      <c r="C4">
        <v>115.63</v>
      </c>
    </row>
    <row r="5" spans="1:4" x14ac:dyDescent="0.2">
      <c r="A5" s="20"/>
      <c r="B5">
        <v>4</v>
      </c>
      <c r="C5">
        <v>69.38</v>
      </c>
    </row>
    <row r="6" spans="1:4" x14ac:dyDescent="0.2">
      <c r="A6" s="20"/>
      <c r="B6">
        <v>5</v>
      </c>
      <c r="C6">
        <v>55.17</v>
      </c>
    </row>
    <row r="7" spans="1:4" x14ac:dyDescent="0.2">
      <c r="A7" s="20"/>
      <c r="B7" s="13">
        <v>6</v>
      </c>
      <c r="C7" s="13">
        <v>51.85</v>
      </c>
    </row>
    <row r="8" spans="1:4" x14ac:dyDescent="0.2">
      <c r="A8" s="20"/>
      <c r="B8">
        <v>7</v>
      </c>
      <c r="C8">
        <v>60.13</v>
      </c>
    </row>
    <row r="9" spans="1:4" x14ac:dyDescent="0.2">
      <c r="A9" s="20"/>
      <c r="B9">
        <v>8</v>
      </c>
      <c r="C9">
        <v>79.88</v>
      </c>
    </row>
    <row r="10" spans="1:4" x14ac:dyDescent="0.2">
      <c r="A10" s="20"/>
      <c r="B10">
        <v>9</v>
      </c>
      <c r="C10">
        <v>105.88</v>
      </c>
    </row>
    <row r="11" spans="1:4" x14ac:dyDescent="0.2">
      <c r="A11" s="20"/>
      <c r="B11">
        <v>10</v>
      </c>
      <c r="C11">
        <v>108.73</v>
      </c>
    </row>
    <row r="12" spans="1:4" x14ac:dyDescent="0.2">
      <c r="A12" s="20"/>
      <c r="B12">
        <v>11</v>
      </c>
      <c r="C12">
        <v>81.650000000000006</v>
      </c>
    </row>
    <row r="13" spans="1:4" x14ac:dyDescent="0.2">
      <c r="A13" s="20"/>
      <c r="B13">
        <v>12</v>
      </c>
      <c r="C13">
        <v>63.88</v>
      </c>
    </row>
    <row r="14" spans="1:4" x14ac:dyDescent="0.2">
      <c r="A14" s="20">
        <v>2019</v>
      </c>
      <c r="B14">
        <v>1</v>
      </c>
      <c r="C14">
        <v>84</v>
      </c>
    </row>
    <row r="15" spans="1:4" x14ac:dyDescent="0.2">
      <c r="A15" s="20"/>
      <c r="B15">
        <v>2</v>
      </c>
      <c r="C15">
        <v>115.23</v>
      </c>
    </row>
    <row r="16" spans="1:4" x14ac:dyDescent="0.2">
      <c r="A16" s="20"/>
      <c r="B16">
        <v>3</v>
      </c>
      <c r="C16">
        <v>133.88</v>
      </c>
    </row>
    <row r="17" spans="1:3" x14ac:dyDescent="0.2">
      <c r="A17" s="20"/>
      <c r="B17">
        <v>4</v>
      </c>
      <c r="C17">
        <v>103.41</v>
      </c>
    </row>
    <row r="18" spans="1:3" x14ac:dyDescent="0.2">
      <c r="A18" s="20"/>
      <c r="B18">
        <v>5</v>
      </c>
      <c r="C18">
        <v>77.59</v>
      </c>
    </row>
    <row r="19" spans="1:3" x14ac:dyDescent="0.2">
      <c r="A19" s="20"/>
      <c r="B19" s="13">
        <v>6</v>
      </c>
      <c r="C19" s="13">
        <v>83.22</v>
      </c>
    </row>
    <row r="20" spans="1:3" x14ac:dyDescent="0.2">
      <c r="A20" s="20"/>
      <c r="B20">
        <v>7</v>
      </c>
      <c r="C20">
        <v>87.29</v>
      </c>
    </row>
    <row r="21" spans="1:3" x14ac:dyDescent="0.2">
      <c r="A21" s="20"/>
      <c r="B21">
        <v>8</v>
      </c>
      <c r="C21">
        <v>86.33</v>
      </c>
    </row>
    <row r="22" spans="1:3" x14ac:dyDescent="0.2">
      <c r="A22" s="20"/>
      <c r="B22">
        <v>9</v>
      </c>
      <c r="C22">
        <v>91.96</v>
      </c>
    </row>
    <row r="23" spans="1:3" x14ac:dyDescent="0.2">
      <c r="A23" s="20"/>
      <c r="B23">
        <v>10</v>
      </c>
      <c r="C23">
        <v>114.66</v>
      </c>
    </row>
    <row r="24" spans="1:3" x14ac:dyDescent="0.2">
      <c r="A24" s="20"/>
      <c r="B24">
        <v>11</v>
      </c>
      <c r="C24">
        <v>68.34</v>
      </c>
    </row>
    <row r="25" spans="1:3" x14ac:dyDescent="0.2">
      <c r="A25" s="20"/>
      <c r="B25">
        <v>12</v>
      </c>
      <c r="C25">
        <v>68.89</v>
      </c>
    </row>
    <row r="26" spans="1:3" x14ac:dyDescent="0.2">
      <c r="A26" s="20">
        <v>2020</v>
      </c>
      <c r="B26">
        <v>1</v>
      </c>
      <c r="C26">
        <v>92.72</v>
      </c>
    </row>
    <row r="27" spans="1:3" x14ac:dyDescent="0.2">
      <c r="A27" s="20"/>
      <c r="B27">
        <v>2</v>
      </c>
      <c r="C27">
        <v>118.03</v>
      </c>
    </row>
    <row r="28" spans="1:3" x14ac:dyDescent="0.2">
      <c r="A28" s="20"/>
      <c r="B28">
        <v>3</v>
      </c>
      <c r="C28">
        <v>123.79</v>
      </c>
    </row>
    <row r="29" spans="1:3" x14ac:dyDescent="0.2">
      <c r="A29" s="20"/>
      <c r="B29">
        <v>4</v>
      </c>
      <c r="C29">
        <v>83.43</v>
      </c>
    </row>
    <row r="30" spans="1:3" x14ac:dyDescent="0.2">
      <c r="A30" s="20"/>
      <c r="B30">
        <v>5</v>
      </c>
      <c r="C30">
        <v>85.73</v>
      </c>
    </row>
    <row r="31" spans="1:3" x14ac:dyDescent="0.2">
      <c r="A31" s="20"/>
      <c r="B31">
        <v>6</v>
      </c>
      <c r="C31">
        <v>102.08</v>
      </c>
    </row>
    <row r="32" spans="1:3" x14ac:dyDescent="0.2">
      <c r="A32" s="20"/>
      <c r="B32">
        <v>7</v>
      </c>
      <c r="C32">
        <v>116.37</v>
      </c>
    </row>
    <row r="33" spans="1:3" x14ac:dyDescent="0.2">
      <c r="A33" s="20"/>
      <c r="B33">
        <v>8</v>
      </c>
      <c r="C33">
        <v>101.39</v>
      </c>
    </row>
    <row r="34" spans="1:3" x14ac:dyDescent="0.2">
      <c r="A34" s="20"/>
      <c r="B34">
        <v>9</v>
      </c>
      <c r="C34">
        <v>116.68</v>
      </c>
    </row>
    <row r="35" spans="1:3" x14ac:dyDescent="0.2">
      <c r="A35" s="20"/>
      <c r="B35">
        <v>10</v>
      </c>
      <c r="C35">
        <v>78.97</v>
      </c>
    </row>
    <row r="36" spans="1:3" x14ac:dyDescent="0.2">
      <c r="A36" s="20"/>
      <c r="B36">
        <v>11</v>
      </c>
      <c r="C36">
        <v>66.66</v>
      </c>
    </row>
    <row r="37" spans="1:3" x14ac:dyDescent="0.2">
      <c r="A37" s="20"/>
      <c r="B37">
        <v>12</v>
      </c>
      <c r="C37">
        <v>61.49</v>
      </c>
    </row>
    <row r="38" spans="1:3" x14ac:dyDescent="0.2">
      <c r="A38" s="20">
        <v>2021</v>
      </c>
      <c r="B38">
        <v>1</v>
      </c>
      <c r="C38">
        <v>87.09</v>
      </c>
    </row>
    <row r="39" spans="1:3" x14ac:dyDescent="0.2">
      <c r="A39" s="20"/>
      <c r="B39">
        <v>2</v>
      </c>
      <c r="C39">
        <v>97.9</v>
      </c>
    </row>
    <row r="40" spans="1:3" x14ac:dyDescent="0.2">
      <c r="A40" s="20"/>
      <c r="B40">
        <v>3</v>
      </c>
      <c r="C40">
        <v>107.75</v>
      </c>
    </row>
    <row r="41" spans="1:3" x14ac:dyDescent="0.2">
      <c r="A41" s="20"/>
      <c r="B41">
        <v>4</v>
      </c>
      <c r="C41">
        <v>74.62</v>
      </c>
    </row>
    <row r="42" spans="1:3" x14ac:dyDescent="0.2">
      <c r="A42" s="20"/>
      <c r="B42">
        <v>5</v>
      </c>
      <c r="C42">
        <v>65.72</v>
      </c>
    </row>
    <row r="43" spans="1:3" x14ac:dyDescent="0.2">
      <c r="A43" s="20"/>
      <c r="B43">
        <v>6</v>
      </c>
      <c r="C43">
        <v>73.11</v>
      </c>
    </row>
    <row r="44" spans="1:3" x14ac:dyDescent="0.2">
      <c r="A44" s="20"/>
      <c r="B44">
        <v>7</v>
      </c>
      <c r="C44">
        <v>86.15</v>
      </c>
    </row>
    <row r="45" spans="1:3" x14ac:dyDescent="0.2">
      <c r="A45" s="20"/>
      <c r="B45">
        <v>8</v>
      </c>
      <c r="C45">
        <v>107.82</v>
      </c>
    </row>
    <row r="46" spans="1:3" x14ac:dyDescent="0.2">
      <c r="A46" s="20"/>
      <c r="B46">
        <v>9</v>
      </c>
      <c r="C46">
        <v>106.08</v>
      </c>
    </row>
    <row r="47" spans="1:3" x14ac:dyDescent="0.2">
      <c r="A47" s="20"/>
      <c r="B47">
        <v>10</v>
      </c>
      <c r="C47">
        <v>84.78</v>
      </c>
    </row>
    <row r="48" spans="1:3" x14ac:dyDescent="0.2">
      <c r="A48" s="20"/>
      <c r="B48">
        <v>11</v>
      </c>
      <c r="C48">
        <v>70.02</v>
      </c>
    </row>
    <row r="49" spans="1:3" x14ac:dyDescent="0.2">
      <c r="A49" s="20"/>
      <c r="B49">
        <v>12</v>
      </c>
      <c r="C49">
        <v>67.97</v>
      </c>
    </row>
    <row r="50" spans="1:3" x14ac:dyDescent="0.2">
      <c r="A50" s="20">
        <v>2022</v>
      </c>
      <c r="B50">
        <v>1</v>
      </c>
      <c r="C50">
        <v>92.58</v>
      </c>
    </row>
    <row r="51" spans="1:3" x14ac:dyDescent="0.2">
      <c r="A51" s="20"/>
      <c r="B51">
        <v>2</v>
      </c>
      <c r="C51">
        <v>111.3</v>
      </c>
    </row>
    <row r="52" spans="1:3" x14ac:dyDescent="0.2">
      <c r="A52" s="20"/>
      <c r="B52">
        <v>3</v>
      </c>
      <c r="C52">
        <v>119.59</v>
      </c>
    </row>
    <row r="53" spans="1:3" x14ac:dyDescent="0.2">
      <c r="A53" s="20"/>
      <c r="B53">
        <v>4</v>
      </c>
    </row>
    <row r="54" spans="1:3" x14ac:dyDescent="0.2">
      <c r="A54" s="20"/>
      <c r="B54">
        <v>5</v>
      </c>
      <c r="C54">
        <v>44.24</v>
      </c>
    </row>
    <row r="55" spans="1:3" x14ac:dyDescent="0.2">
      <c r="A55" s="20"/>
      <c r="B55">
        <v>6</v>
      </c>
      <c r="C55">
        <v>68.53</v>
      </c>
    </row>
    <row r="56" spans="1:3" x14ac:dyDescent="0.2">
      <c r="A56" s="20"/>
      <c r="B56">
        <v>7</v>
      </c>
      <c r="C56">
        <v>95.38</v>
      </c>
    </row>
    <row r="57" spans="1:3" x14ac:dyDescent="0.2">
      <c r="A57" s="20"/>
      <c r="B57">
        <v>8</v>
      </c>
      <c r="C57">
        <v>95.43</v>
      </c>
    </row>
    <row r="58" spans="1:3" x14ac:dyDescent="0.2">
      <c r="A58" s="20"/>
      <c r="B58">
        <v>9</v>
      </c>
      <c r="C58">
        <v>94.18</v>
      </c>
    </row>
    <row r="59" spans="1:3" x14ac:dyDescent="0.2">
      <c r="A59" s="20"/>
      <c r="B59">
        <v>10</v>
      </c>
      <c r="C59">
        <v>88.74</v>
      </c>
    </row>
    <row r="60" spans="1:3" x14ac:dyDescent="0.2">
      <c r="A60" s="20"/>
      <c r="B60">
        <v>11</v>
      </c>
      <c r="C60">
        <v>72.09</v>
      </c>
    </row>
    <row r="61" spans="1:3" x14ac:dyDescent="0.2">
      <c r="A61" s="20"/>
      <c r="B61">
        <v>12</v>
      </c>
      <c r="C61">
        <v>71.75</v>
      </c>
    </row>
    <row r="65" spans="2:2" x14ac:dyDescent="0.2">
      <c r="B65" t="s">
        <v>49</v>
      </c>
    </row>
    <row r="66" spans="2:2" x14ac:dyDescent="0.2">
      <c r="B66">
        <v>20</v>
      </c>
    </row>
  </sheetData>
  <mergeCells count="5">
    <mergeCell ref="A38:A49"/>
    <mergeCell ref="A50:A61"/>
    <mergeCell ref="A2:A13"/>
    <mergeCell ref="A14:A25"/>
    <mergeCell ref="A26:A3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25EE1-CAD3-433E-80E7-BEDD5E7BE4AF}">
  <dimension ref="A1:D61"/>
  <sheetViews>
    <sheetView workbookViewId="0">
      <selection activeCell="D2" sqref="D2:D61"/>
    </sheetView>
  </sheetViews>
  <sheetFormatPr baseColWidth="10" defaultColWidth="8.83203125" defaultRowHeight="15" x14ac:dyDescent="0.2"/>
  <cols>
    <col min="3" max="3" width="9.33203125" bestFit="1" customWidth="1"/>
    <col min="4" max="4" width="11.83203125" bestFit="1" customWidth="1"/>
    <col min="15" max="15" width="8.6640625" customWidth="1"/>
  </cols>
  <sheetData>
    <row r="1" spans="1:4" x14ac:dyDescent="0.2">
      <c r="A1" t="s">
        <v>1</v>
      </c>
      <c r="B1" t="s">
        <v>2</v>
      </c>
      <c r="C1" t="s">
        <v>72</v>
      </c>
      <c r="D1" t="s">
        <v>73</v>
      </c>
    </row>
    <row r="2" spans="1:4" x14ac:dyDescent="0.2">
      <c r="A2" s="20">
        <v>2018</v>
      </c>
      <c r="B2">
        <v>1</v>
      </c>
      <c r="C2" s="5">
        <v>496</v>
      </c>
      <c r="D2">
        <f>(C2*86400*1000)/545245788</f>
        <v>78.596480602249059</v>
      </c>
    </row>
    <row r="3" spans="1:4" x14ac:dyDescent="0.2">
      <c r="A3" s="20"/>
      <c r="B3">
        <v>2</v>
      </c>
      <c r="C3" s="5">
        <v>378</v>
      </c>
      <c r="D3">
        <f t="shared" ref="D3:D61" si="0">(C3*86400*1000)/545245788</f>
        <v>59.898124329939805</v>
      </c>
    </row>
    <row r="4" spans="1:4" x14ac:dyDescent="0.2">
      <c r="A4" s="20"/>
      <c r="B4">
        <v>3</v>
      </c>
      <c r="C4" s="5">
        <v>508</v>
      </c>
      <c r="D4">
        <f t="shared" si="0"/>
        <v>80.498008358755087</v>
      </c>
    </row>
    <row r="5" spans="1:4" x14ac:dyDescent="0.2">
      <c r="A5" s="20"/>
      <c r="B5">
        <v>4</v>
      </c>
      <c r="C5" s="5">
        <v>290</v>
      </c>
      <c r="D5">
        <f t="shared" si="0"/>
        <v>45.953587448895618</v>
      </c>
    </row>
    <row r="6" spans="1:4" x14ac:dyDescent="0.2">
      <c r="A6" s="20"/>
      <c r="B6">
        <v>5</v>
      </c>
      <c r="C6" s="5">
        <v>16</v>
      </c>
      <c r="D6">
        <f t="shared" si="0"/>
        <v>2.5353703420080338</v>
      </c>
    </row>
    <row r="7" spans="1:4" x14ac:dyDescent="0.2">
      <c r="A7" s="20"/>
      <c r="B7">
        <v>6</v>
      </c>
      <c r="C7" s="5">
        <v>0</v>
      </c>
      <c r="D7">
        <f t="shared" si="0"/>
        <v>0</v>
      </c>
    </row>
    <row r="8" spans="1:4" x14ac:dyDescent="0.2">
      <c r="A8" s="20"/>
      <c r="B8">
        <v>7</v>
      </c>
      <c r="C8" s="5">
        <v>346</v>
      </c>
      <c r="D8">
        <f t="shared" si="0"/>
        <v>54.827383645923739</v>
      </c>
    </row>
    <row r="9" spans="1:4" x14ac:dyDescent="0.2">
      <c r="A9" s="20"/>
      <c r="B9">
        <v>8</v>
      </c>
      <c r="C9" s="5">
        <v>311</v>
      </c>
      <c r="D9">
        <f t="shared" si="0"/>
        <v>49.281261022781159</v>
      </c>
    </row>
    <row r="10" spans="1:4" x14ac:dyDescent="0.2">
      <c r="A10" s="20"/>
      <c r="B10">
        <v>9</v>
      </c>
      <c r="C10" s="5">
        <v>329</v>
      </c>
      <c r="D10">
        <f t="shared" si="0"/>
        <v>52.1335526575402</v>
      </c>
    </row>
    <row r="11" spans="1:4" x14ac:dyDescent="0.2">
      <c r="A11" s="20"/>
      <c r="B11">
        <v>10</v>
      </c>
      <c r="C11" s="5">
        <v>583</v>
      </c>
      <c r="D11">
        <f t="shared" si="0"/>
        <v>92.382556836917743</v>
      </c>
    </row>
    <row r="12" spans="1:4" x14ac:dyDescent="0.2">
      <c r="A12" s="20"/>
      <c r="B12">
        <v>11</v>
      </c>
      <c r="C12" s="5">
        <v>589</v>
      </c>
      <c r="D12">
        <f t="shared" si="0"/>
        <v>93.333320715170757</v>
      </c>
    </row>
    <row r="13" spans="1:4" x14ac:dyDescent="0.2">
      <c r="A13" s="20"/>
      <c r="B13">
        <v>12</v>
      </c>
      <c r="C13" s="5">
        <v>589</v>
      </c>
      <c r="D13">
        <f t="shared" si="0"/>
        <v>93.333320715170757</v>
      </c>
    </row>
    <row r="14" spans="1:4" x14ac:dyDescent="0.2">
      <c r="A14" s="20">
        <v>2019</v>
      </c>
      <c r="B14">
        <v>1</v>
      </c>
      <c r="C14" s="5">
        <v>559</v>
      </c>
      <c r="D14">
        <f t="shared" si="0"/>
        <v>88.579501323905689</v>
      </c>
    </row>
    <row r="15" spans="1:4" x14ac:dyDescent="0.2">
      <c r="A15" s="20"/>
      <c r="B15">
        <v>2</v>
      </c>
      <c r="C15" s="5">
        <v>608</v>
      </c>
      <c r="D15">
        <f t="shared" si="0"/>
        <v>96.344072996305286</v>
      </c>
    </row>
    <row r="16" spans="1:4" x14ac:dyDescent="0.2">
      <c r="A16" s="20"/>
      <c r="B16">
        <v>3</v>
      </c>
      <c r="C16" s="5">
        <v>706</v>
      </c>
      <c r="D16">
        <f t="shared" si="0"/>
        <v>111.8732163411045</v>
      </c>
    </row>
    <row r="17" spans="1:4" x14ac:dyDescent="0.2">
      <c r="A17" s="20"/>
      <c r="B17">
        <v>4</v>
      </c>
      <c r="C17" s="5">
        <v>245</v>
      </c>
      <c r="D17">
        <f t="shared" si="0"/>
        <v>38.822858361998023</v>
      </c>
    </row>
    <row r="18" spans="1:4" x14ac:dyDescent="0.2">
      <c r="A18" s="20"/>
      <c r="B18">
        <v>5</v>
      </c>
      <c r="C18" s="5">
        <v>49</v>
      </c>
      <c r="D18">
        <f t="shared" si="0"/>
        <v>7.7645716723996046</v>
      </c>
    </row>
    <row r="19" spans="1:4" x14ac:dyDescent="0.2">
      <c r="A19" s="20"/>
      <c r="B19">
        <v>6</v>
      </c>
      <c r="C19" s="5">
        <v>0</v>
      </c>
      <c r="D19">
        <f t="shared" si="0"/>
        <v>0</v>
      </c>
    </row>
    <row r="20" spans="1:4" x14ac:dyDescent="0.2">
      <c r="A20" s="20"/>
      <c r="B20">
        <v>7</v>
      </c>
      <c r="C20" s="5">
        <v>518</v>
      </c>
      <c r="D20">
        <f t="shared" si="0"/>
        <v>82.082614822510095</v>
      </c>
    </row>
    <row r="21" spans="1:4" x14ac:dyDescent="0.2">
      <c r="A21" s="20"/>
      <c r="B21">
        <v>8</v>
      </c>
      <c r="C21" s="5">
        <v>390</v>
      </c>
      <c r="D21">
        <f t="shared" si="0"/>
        <v>61.799652086445832</v>
      </c>
    </row>
    <row r="22" spans="1:4" x14ac:dyDescent="0.2">
      <c r="A22" s="20"/>
      <c r="B22">
        <v>9</v>
      </c>
      <c r="C22" s="5">
        <v>285</v>
      </c>
      <c r="D22">
        <f t="shared" si="0"/>
        <v>45.161284217018107</v>
      </c>
    </row>
    <row r="23" spans="1:4" x14ac:dyDescent="0.2">
      <c r="A23" s="20"/>
      <c r="B23">
        <v>10</v>
      </c>
      <c r="C23" s="5">
        <v>578</v>
      </c>
      <c r="D23">
        <f t="shared" si="0"/>
        <v>91.590253605040232</v>
      </c>
    </row>
    <row r="24" spans="1:4" x14ac:dyDescent="0.2">
      <c r="A24" s="20"/>
      <c r="B24">
        <v>11</v>
      </c>
      <c r="C24" s="5">
        <v>143</v>
      </c>
      <c r="D24">
        <f t="shared" si="0"/>
        <v>22.659872431696805</v>
      </c>
    </row>
    <row r="25" spans="1:4" x14ac:dyDescent="0.2">
      <c r="A25" s="20"/>
      <c r="B25">
        <v>12</v>
      </c>
      <c r="C25" s="5">
        <v>528</v>
      </c>
      <c r="D25">
        <f t="shared" si="0"/>
        <v>83.667221286265118</v>
      </c>
    </row>
    <row r="26" spans="1:4" x14ac:dyDescent="0.2">
      <c r="A26" s="20">
        <v>2020</v>
      </c>
      <c r="B26">
        <v>1</v>
      </c>
      <c r="C26" s="5">
        <v>507</v>
      </c>
      <c r="D26">
        <f t="shared" si="0"/>
        <v>80.339547712379584</v>
      </c>
    </row>
    <row r="27" spans="1:4" x14ac:dyDescent="0.2">
      <c r="A27" s="20"/>
      <c r="B27">
        <v>2</v>
      </c>
      <c r="C27" s="5">
        <v>481</v>
      </c>
      <c r="D27">
        <f t="shared" si="0"/>
        <v>76.219570906616525</v>
      </c>
    </row>
    <row r="28" spans="1:4" x14ac:dyDescent="0.2">
      <c r="A28" s="20"/>
      <c r="B28">
        <v>3</v>
      </c>
      <c r="C28" s="5">
        <v>591</v>
      </c>
      <c r="D28">
        <f t="shared" si="0"/>
        <v>93.650242007921761</v>
      </c>
    </row>
    <row r="29" spans="1:4" x14ac:dyDescent="0.2">
      <c r="A29" s="20"/>
      <c r="B29">
        <v>4</v>
      </c>
      <c r="C29" s="5">
        <v>247</v>
      </c>
      <c r="D29">
        <f t="shared" si="0"/>
        <v>39.139779654749027</v>
      </c>
    </row>
    <row r="30" spans="1:4" x14ac:dyDescent="0.2">
      <c r="A30" s="20"/>
      <c r="B30">
        <v>5</v>
      </c>
      <c r="C30" s="5">
        <v>14</v>
      </c>
      <c r="D30">
        <f t="shared" si="0"/>
        <v>2.2184490492570297</v>
      </c>
    </row>
    <row r="31" spans="1:4" x14ac:dyDescent="0.2">
      <c r="A31" s="20"/>
      <c r="B31">
        <v>6</v>
      </c>
      <c r="C31" s="5">
        <v>472</v>
      </c>
      <c r="D31">
        <f t="shared" si="0"/>
        <v>74.793425089237004</v>
      </c>
    </row>
    <row r="32" spans="1:4" x14ac:dyDescent="0.2">
      <c r="A32" s="20"/>
      <c r="B32">
        <v>7</v>
      </c>
      <c r="C32" s="5">
        <v>456</v>
      </c>
      <c r="D32">
        <f t="shared" si="0"/>
        <v>72.258054747228968</v>
      </c>
    </row>
    <row r="33" spans="1:4" x14ac:dyDescent="0.2">
      <c r="A33" s="20"/>
      <c r="B33">
        <v>8</v>
      </c>
      <c r="C33" s="5">
        <v>465</v>
      </c>
      <c r="D33">
        <f t="shared" si="0"/>
        <v>73.684200564608489</v>
      </c>
    </row>
    <row r="34" spans="1:4" x14ac:dyDescent="0.2">
      <c r="A34" s="20"/>
      <c r="B34">
        <v>9</v>
      </c>
      <c r="C34" s="5">
        <v>357</v>
      </c>
      <c r="D34">
        <f t="shared" si="0"/>
        <v>56.570450756054257</v>
      </c>
    </row>
    <row r="35" spans="1:4" x14ac:dyDescent="0.2">
      <c r="A35" s="20"/>
      <c r="B35">
        <v>10</v>
      </c>
      <c r="C35" s="5">
        <v>146</v>
      </c>
      <c r="D35">
        <f t="shared" si="0"/>
        <v>23.135254370823311</v>
      </c>
    </row>
    <row r="36" spans="1:4" x14ac:dyDescent="0.2">
      <c r="A36" s="20"/>
      <c r="B36">
        <v>11</v>
      </c>
      <c r="C36" s="5">
        <v>143</v>
      </c>
      <c r="D36">
        <f t="shared" si="0"/>
        <v>22.659872431696805</v>
      </c>
    </row>
    <row r="37" spans="1:4" x14ac:dyDescent="0.2">
      <c r="A37" s="20"/>
      <c r="B37">
        <v>12</v>
      </c>
      <c r="C37" s="5">
        <v>386</v>
      </c>
      <c r="D37">
        <f t="shared" si="0"/>
        <v>61.165809500943823</v>
      </c>
    </row>
    <row r="38" spans="1:4" x14ac:dyDescent="0.2">
      <c r="A38" s="20">
        <v>2021</v>
      </c>
      <c r="B38">
        <v>1</v>
      </c>
      <c r="C38" s="5">
        <v>601</v>
      </c>
      <c r="D38">
        <f t="shared" si="0"/>
        <v>95.23484847167677</v>
      </c>
    </row>
    <row r="39" spans="1:4" x14ac:dyDescent="0.2">
      <c r="A39" s="20"/>
      <c r="B39">
        <v>2</v>
      </c>
      <c r="C39" s="5">
        <v>420</v>
      </c>
      <c r="D39">
        <f t="shared" si="0"/>
        <v>66.553471477710886</v>
      </c>
    </row>
    <row r="40" spans="1:4" x14ac:dyDescent="0.2">
      <c r="A40" s="20"/>
      <c r="B40">
        <v>3</v>
      </c>
      <c r="C40" s="5">
        <v>725</v>
      </c>
      <c r="D40">
        <f t="shared" si="0"/>
        <v>114.88396862223904</v>
      </c>
    </row>
    <row r="41" spans="1:4" x14ac:dyDescent="0.2">
      <c r="A41" s="20"/>
      <c r="B41">
        <v>4</v>
      </c>
      <c r="C41" s="5">
        <v>305</v>
      </c>
      <c r="D41">
        <f t="shared" si="0"/>
        <v>48.330497144528145</v>
      </c>
    </row>
    <row r="42" spans="1:4" x14ac:dyDescent="0.2">
      <c r="A42" s="20"/>
      <c r="B42">
        <v>5</v>
      </c>
      <c r="C42" s="5">
        <v>71</v>
      </c>
      <c r="D42">
        <f t="shared" si="0"/>
        <v>11.250705892660651</v>
      </c>
    </row>
    <row r="43" spans="1:4" x14ac:dyDescent="0.2">
      <c r="A43" s="20"/>
      <c r="B43">
        <v>6</v>
      </c>
      <c r="C43" s="5">
        <v>98</v>
      </c>
      <c r="D43">
        <f t="shared" si="0"/>
        <v>15.529143344799209</v>
      </c>
    </row>
    <row r="44" spans="1:4" x14ac:dyDescent="0.2">
      <c r="A44" s="20"/>
      <c r="B44">
        <v>7</v>
      </c>
      <c r="C44" s="5">
        <v>482</v>
      </c>
      <c r="D44">
        <f t="shared" si="0"/>
        <v>76.378031552992027</v>
      </c>
    </row>
    <row r="45" spans="1:4" x14ac:dyDescent="0.2">
      <c r="A45" s="20"/>
      <c r="B45">
        <v>8</v>
      </c>
      <c r="C45" s="5">
        <v>411</v>
      </c>
      <c r="D45">
        <f t="shared" si="0"/>
        <v>65.12732566033138</v>
      </c>
    </row>
    <row r="46" spans="1:4" x14ac:dyDescent="0.2">
      <c r="A46" s="20"/>
      <c r="B46">
        <v>9</v>
      </c>
      <c r="C46" s="5">
        <v>425</v>
      </c>
      <c r="D46">
        <f t="shared" si="0"/>
        <v>67.345774709588397</v>
      </c>
    </row>
    <row r="47" spans="1:4" x14ac:dyDescent="0.2">
      <c r="A47" s="20"/>
      <c r="B47">
        <v>10</v>
      </c>
      <c r="C47" s="5">
        <v>307</v>
      </c>
      <c r="D47">
        <f t="shared" si="0"/>
        <v>48.64741843727915</v>
      </c>
    </row>
    <row r="48" spans="1:4" x14ac:dyDescent="0.2">
      <c r="A48" s="20"/>
      <c r="B48">
        <v>11</v>
      </c>
      <c r="C48" s="5">
        <v>203</v>
      </c>
      <c r="D48">
        <f t="shared" si="0"/>
        <v>32.167511214226934</v>
      </c>
    </row>
    <row r="49" spans="1:4" x14ac:dyDescent="0.2">
      <c r="A49" s="20"/>
      <c r="B49">
        <v>12</v>
      </c>
      <c r="C49" s="5">
        <v>658</v>
      </c>
      <c r="D49">
        <f t="shared" si="0"/>
        <v>104.2671053150804</v>
      </c>
    </row>
    <row r="50" spans="1:4" x14ac:dyDescent="0.2">
      <c r="A50" s="20">
        <v>2022</v>
      </c>
      <c r="B50">
        <v>1</v>
      </c>
      <c r="C50" s="5">
        <v>510</v>
      </c>
      <c r="D50">
        <f t="shared" si="0"/>
        <v>80.814929651506077</v>
      </c>
    </row>
    <row r="51" spans="1:4" x14ac:dyDescent="0.2">
      <c r="A51" s="20"/>
      <c r="B51">
        <v>2</v>
      </c>
      <c r="C51" s="5">
        <v>486</v>
      </c>
      <c r="D51">
        <f t="shared" si="0"/>
        <v>77.011874138494036</v>
      </c>
    </row>
    <row r="52" spans="1:4" x14ac:dyDescent="0.2">
      <c r="A52" s="20"/>
      <c r="B52">
        <v>3</v>
      </c>
      <c r="C52" s="5">
        <v>546</v>
      </c>
      <c r="D52">
        <f t="shared" si="0"/>
        <v>86.519512921024159</v>
      </c>
    </row>
    <row r="53" spans="1:4" x14ac:dyDescent="0.2">
      <c r="A53" s="20"/>
      <c r="B53">
        <v>4</v>
      </c>
      <c r="C53" s="5">
        <v>209</v>
      </c>
      <c r="D53">
        <f t="shared" si="0"/>
        <v>33.118275092479941</v>
      </c>
    </row>
    <row r="54" spans="1:4" x14ac:dyDescent="0.2">
      <c r="A54" s="20"/>
      <c r="B54">
        <v>5</v>
      </c>
      <c r="C54" s="5">
        <v>0</v>
      </c>
      <c r="D54">
        <f t="shared" si="0"/>
        <v>0</v>
      </c>
    </row>
    <row r="55" spans="1:4" x14ac:dyDescent="0.2">
      <c r="A55" s="20"/>
      <c r="B55">
        <v>6</v>
      </c>
      <c r="C55" s="5">
        <v>174</v>
      </c>
      <c r="D55">
        <f t="shared" si="0"/>
        <v>27.572152469337368</v>
      </c>
    </row>
    <row r="56" spans="1:4" x14ac:dyDescent="0.2">
      <c r="A56" s="20"/>
      <c r="B56">
        <v>7</v>
      </c>
      <c r="C56" s="5">
        <v>528</v>
      </c>
      <c r="D56">
        <f t="shared" si="0"/>
        <v>83.667221286265118</v>
      </c>
    </row>
    <row r="57" spans="1:4" x14ac:dyDescent="0.2">
      <c r="A57" s="20"/>
      <c r="B57">
        <v>8</v>
      </c>
      <c r="C57" s="5">
        <v>518</v>
      </c>
      <c r="D57">
        <f t="shared" si="0"/>
        <v>82.082614822510095</v>
      </c>
    </row>
    <row r="58" spans="1:4" x14ac:dyDescent="0.2">
      <c r="A58" s="20"/>
      <c r="B58">
        <v>9</v>
      </c>
      <c r="C58" s="5">
        <v>332</v>
      </c>
      <c r="D58">
        <f t="shared" si="0"/>
        <v>52.608934596666707</v>
      </c>
    </row>
    <row r="59" spans="1:4" x14ac:dyDescent="0.2">
      <c r="A59" s="20"/>
      <c r="B59">
        <v>10</v>
      </c>
      <c r="C59" s="5">
        <v>478</v>
      </c>
      <c r="D59">
        <f t="shared" si="0"/>
        <v>75.744188967490018</v>
      </c>
    </row>
    <row r="60" spans="1:4" x14ac:dyDescent="0.2">
      <c r="A60" s="20"/>
      <c r="B60">
        <v>11</v>
      </c>
      <c r="C60" s="5">
        <v>420</v>
      </c>
      <c r="D60">
        <f t="shared" si="0"/>
        <v>66.553471477710886</v>
      </c>
    </row>
    <row r="61" spans="1:4" x14ac:dyDescent="0.2">
      <c r="A61" s="20"/>
      <c r="B61">
        <v>12</v>
      </c>
      <c r="C61" s="5">
        <v>608</v>
      </c>
      <c r="D61">
        <f t="shared" si="0"/>
        <v>96.344072996305286</v>
      </c>
    </row>
  </sheetData>
  <mergeCells count="5">
    <mergeCell ref="A38:A49"/>
    <mergeCell ref="A50:A61"/>
    <mergeCell ref="A2:A13"/>
    <mergeCell ref="A14:A25"/>
    <mergeCell ref="A26:A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3AE3-BC6C-4A51-AC09-42DEB3C31575}">
  <dimension ref="A1:K99"/>
  <sheetViews>
    <sheetView tabSelected="1" workbookViewId="0">
      <pane ySplit="1" topLeftCell="A41" activePane="bottomLeft" state="frozen"/>
      <selection pane="bottomLeft" activeCell="M46" sqref="M46"/>
    </sheetView>
  </sheetViews>
  <sheetFormatPr baseColWidth="10" defaultColWidth="8.83203125" defaultRowHeight="15" x14ac:dyDescent="0.2"/>
  <cols>
    <col min="7" max="9" width="10.1640625" customWidth="1"/>
    <col min="10" max="10" width="13.1640625" customWidth="1"/>
    <col min="11" max="11" width="10.83203125" bestFit="1" customWidth="1"/>
    <col min="12" max="12" width="8.6640625" customWidth="1"/>
  </cols>
  <sheetData>
    <row r="1" spans="1:10" ht="32" x14ac:dyDescent="0.2">
      <c r="A1" s="8" t="s">
        <v>1</v>
      </c>
      <c r="B1" s="8" t="s">
        <v>2</v>
      </c>
      <c r="C1" s="8" t="s">
        <v>45</v>
      </c>
      <c r="D1" s="8" t="s">
        <v>80</v>
      </c>
      <c r="E1" s="8" t="s">
        <v>47</v>
      </c>
      <c r="F1" s="8" t="s">
        <v>48</v>
      </c>
      <c r="G1" s="8" t="s">
        <v>74</v>
      </c>
      <c r="H1" s="10" t="s">
        <v>76</v>
      </c>
      <c r="I1" s="9" t="s">
        <v>71</v>
      </c>
      <c r="J1" s="8" t="s">
        <v>75</v>
      </c>
    </row>
    <row r="2" spans="1:10" x14ac:dyDescent="0.2">
      <c r="A2" s="20">
        <v>2015</v>
      </c>
      <c r="B2">
        <v>1</v>
      </c>
      <c r="C2">
        <v>31</v>
      </c>
      <c r="D2">
        <v>25.098505086332001</v>
      </c>
      <c r="F2">
        <v>80.220890636962565</v>
      </c>
      <c r="H2" s="11"/>
      <c r="I2" s="7"/>
    </row>
    <row r="3" spans="1:10" x14ac:dyDescent="0.2">
      <c r="A3" s="20"/>
      <c r="B3">
        <v>2</v>
      </c>
      <c r="C3">
        <v>28</v>
      </c>
      <c r="D3">
        <v>0.68764592256347401</v>
      </c>
      <c r="F3">
        <v>72.457578639837166</v>
      </c>
      <c r="H3" s="11"/>
      <c r="I3" s="7"/>
    </row>
    <row r="4" spans="1:10" x14ac:dyDescent="0.2">
      <c r="A4" s="20"/>
      <c r="B4">
        <v>3</v>
      </c>
      <c r="C4">
        <v>31</v>
      </c>
      <c r="D4">
        <v>0.633335732252995</v>
      </c>
      <c r="F4">
        <v>80.220890636962565</v>
      </c>
      <c r="H4" s="11"/>
      <c r="I4" s="7"/>
    </row>
    <row r="5" spans="1:10" x14ac:dyDescent="0.2">
      <c r="A5" s="20"/>
      <c r="B5">
        <v>4</v>
      </c>
      <c r="C5">
        <v>30</v>
      </c>
      <c r="D5">
        <v>9.8656357006706408</v>
      </c>
      <c r="F5">
        <v>77.633119971254104</v>
      </c>
      <c r="H5" s="11"/>
      <c r="I5" s="7"/>
    </row>
    <row r="6" spans="1:10" x14ac:dyDescent="0.2">
      <c r="A6" s="20"/>
      <c r="B6">
        <v>5</v>
      </c>
      <c r="C6">
        <v>31</v>
      </c>
      <c r="D6">
        <v>47.776651444671103</v>
      </c>
      <c r="F6">
        <v>80.220890636962565</v>
      </c>
      <c r="H6" s="11"/>
      <c r="I6" s="7"/>
    </row>
    <row r="7" spans="1:10" x14ac:dyDescent="0.2">
      <c r="A7" s="20"/>
      <c r="B7">
        <v>6</v>
      </c>
      <c r="C7">
        <v>30</v>
      </c>
      <c r="D7">
        <v>121.06099309609201</v>
      </c>
      <c r="F7">
        <v>77.633119971254104</v>
      </c>
      <c r="H7" s="11"/>
      <c r="I7" s="7"/>
    </row>
    <row r="8" spans="1:10" x14ac:dyDescent="0.2">
      <c r="A8" s="20"/>
      <c r="B8">
        <v>7</v>
      </c>
      <c r="C8">
        <v>31</v>
      </c>
      <c r="D8">
        <v>159.15139044806</v>
      </c>
      <c r="F8">
        <v>80.220890636962565</v>
      </c>
      <c r="H8" s="11"/>
      <c r="I8" s="7"/>
    </row>
    <row r="9" spans="1:10" x14ac:dyDescent="0.2">
      <c r="A9" s="20"/>
      <c r="B9">
        <v>8</v>
      </c>
      <c r="C9">
        <v>31</v>
      </c>
      <c r="D9">
        <v>154.23227265978099</v>
      </c>
      <c r="F9">
        <v>80.220890636962565</v>
      </c>
      <c r="H9" s="11"/>
      <c r="I9" s="7"/>
    </row>
    <row r="10" spans="1:10" x14ac:dyDescent="0.2">
      <c r="A10" s="20"/>
      <c r="B10">
        <v>9</v>
      </c>
      <c r="C10">
        <v>30</v>
      </c>
      <c r="D10">
        <v>141.62586209944601</v>
      </c>
      <c r="F10">
        <v>77.633119971254104</v>
      </c>
      <c r="H10" s="11"/>
      <c r="I10" s="7"/>
    </row>
    <row r="11" spans="1:10" x14ac:dyDescent="0.2">
      <c r="A11" s="20"/>
      <c r="B11">
        <v>10</v>
      </c>
      <c r="C11">
        <v>31</v>
      </c>
      <c r="D11">
        <v>112.32113744615999</v>
      </c>
      <c r="F11">
        <v>80.220890636962565</v>
      </c>
      <c r="H11" s="11"/>
      <c r="I11" s="7"/>
    </row>
    <row r="12" spans="1:10" x14ac:dyDescent="0.2">
      <c r="A12" s="20"/>
      <c r="B12">
        <v>11</v>
      </c>
      <c r="C12">
        <v>30</v>
      </c>
      <c r="D12">
        <v>6.8063232121990103</v>
      </c>
      <c r="F12">
        <v>77.633119971254104</v>
      </c>
      <c r="H12" s="11"/>
      <c r="I12" s="7"/>
    </row>
    <row r="13" spans="1:10" x14ac:dyDescent="0.2">
      <c r="A13" s="20"/>
      <c r="B13">
        <v>12</v>
      </c>
      <c r="C13">
        <v>31</v>
      </c>
      <c r="D13">
        <v>11.721029703819299</v>
      </c>
      <c r="F13">
        <v>80.220890636962565</v>
      </c>
      <c r="H13" s="11"/>
      <c r="I13" s="7"/>
    </row>
    <row r="14" spans="1:10" x14ac:dyDescent="0.2">
      <c r="A14" s="20">
        <v>2016</v>
      </c>
      <c r="B14">
        <v>1</v>
      </c>
      <c r="C14">
        <v>31</v>
      </c>
      <c r="D14">
        <v>9.7303900519578796</v>
      </c>
      <c r="F14">
        <v>80.220890636962565</v>
      </c>
      <c r="H14" s="11"/>
      <c r="I14" s="7"/>
    </row>
    <row r="15" spans="1:10" x14ac:dyDescent="0.2">
      <c r="A15" s="20"/>
      <c r="B15">
        <v>2</v>
      </c>
      <c r="C15">
        <v>29</v>
      </c>
      <c r="D15">
        <v>1.0749731883878599</v>
      </c>
      <c r="F15">
        <v>75.045349305545628</v>
      </c>
      <c r="H15" s="11"/>
      <c r="I15" s="7"/>
    </row>
    <row r="16" spans="1:10" x14ac:dyDescent="0.2">
      <c r="A16" s="20"/>
      <c r="B16">
        <v>3</v>
      </c>
      <c r="C16">
        <v>31</v>
      </c>
      <c r="D16">
        <v>1.8783663742016401</v>
      </c>
      <c r="F16">
        <v>80.220890636962565</v>
      </c>
      <c r="H16" s="11"/>
      <c r="I16" s="7"/>
    </row>
    <row r="17" spans="1:9" x14ac:dyDescent="0.2">
      <c r="A17" s="20"/>
      <c r="B17">
        <v>4</v>
      </c>
      <c r="C17">
        <v>30</v>
      </c>
      <c r="D17">
        <v>7.2257295035033797</v>
      </c>
      <c r="F17">
        <v>77.633119971254104</v>
      </c>
      <c r="H17" s="11"/>
      <c r="I17" s="7"/>
    </row>
    <row r="18" spans="1:9" x14ac:dyDescent="0.2">
      <c r="A18" s="20"/>
      <c r="B18">
        <v>5</v>
      </c>
      <c r="C18">
        <v>31</v>
      </c>
      <c r="D18">
        <v>85.384864220786497</v>
      </c>
      <c r="F18">
        <v>80.220890636962565</v>
      </c>
      <c r="H18" s="11"/>
      <c r="I18" s="7"/>
    </row>
    <row r="19" spans="1:9" x14ac:dyDescent="0.2">
      <c r="A19" s="20"/>
      <c r="B19">
        <v>6</v>
      </c>
      <c r="C19">
        <v>30</v>
      </c>
      <c r="D19">
        <v>146.257849748838</v>
      </c>
      <c r="F19">
        <v>77.633119971254104</v>
      </c>
      <c r="H19" s="11"/>
      <c r="I19" s="7"/>
    </row>
    <row r="20" spans="1:9" x14ac:dyDescent="0.2">
      <c r="A20" s="20"/>
      <c r="B20">
        <v>7</v>
      </c>
      <c r="C20">
        <v>31</v>
      </c>
      <c r="D20">
        <v>143.40114523673299</v>
      </c>
      <c r="F20">
        <v>80.220890636962565</v>
      </c>
      <c r="H20" s="11"/>
      <c r="I20" s="7"/>
    </row>
    <row r="21" spans="1:9" x14ac:dyDescent="0.2">
      <c r="A21" s="20"/>
      <c r="B21">
        <v>8</v>
      </c>
      <c r="C21">
        <v>31</v>
      </c>
      <c r="D21">
        <v>166.41342720392299</v>
      </c>
      <c r="F21">
        <v>80.220890636962565</v>
      </c>
      <c r="H21" s="11"/>
      <c r="I21" s="7"/>
    </row>
    <row r="22" spans="1:9" x14ac:dyDescent="0.2">
      <c r="A22" s="20"/>
      <c r="B22">
        <v>9</v>
      </c>
      <c r="C22">
        <v>30</v>
      </c>
      <c r="D22">
        <v>154.52057469753501</v>
      </c>
      <c r="F22">
        <v>77.633119971254104</v>
      </c>
      <c r="H22" s="11"/>
      <c r="I22" s="7"/>
    </row>
    <row r="23" spans="1:9" x14ac:dyDescent="0.2">
      <c r="A23" s="20"/>
      <c r="B23">
        <v>10</v>
      </c>
      <c r="C23">
        <v>31</v>
      </c>
      <c r="D23">
        <v>142.33209227499199</v>
      </c>
      <c r="F23">
        <v>80.220890636962565</v>
      </c>
      <c r="H23" s="11"/>
      <c r="I23" s="7"/>
    </row>
    <row r="24" spans="1:9" x14ac:dyDescent="0.2">
      <c r="A24" s="20"/>
      <c r="B24">
        <v>11</v>
      </c>
      <c r="C24">
        <v>30</v>
      </c>
      <c r="D24">
        <v>102.54856775611201</v>
      </c>
      <c r="F24">
        <v>77.633119971254104</v>
      </c>
      <c r="H24" s="11"/>
      <c r="I24" s="7"/>
    </row>
    <row r="25" spans="1:9" x14ac:dyDescent="0.2">
      <c r="A25" s="20"/>
      <c r="B25">
        <v>12</v>
      </c>
      <c r="C25">
        <v>31</v>
      </c>
      <c r="D25">
        <v>5.4301444830654599</v>
      </c>
      <c r="F25">
        <v>80.220890636962565</v>
      </c>
      <c r="H25" s="11"/>
      <c r="I25" s="7"/>
    </row>
    <row r="26" spans="1:9" x14ac:dyDescent="0.2">
      <c r="A26" s="20">
        <v>2017</v>
      </c>
      <c r="B26">
        <v>1</v>
      </c>
      <c r="C26">
        <v>31</v>
      </c>
      <c r="D26">
        <v>52.618893928029699</v>
      </c>
      <c r="F26">
        <v>80.220890636962565</v>
      </c>
      <c r="H26" s="11"/>
      <c r="I26" s="7"/>
    </row>
    <row r="27" spans="1:9" x14ac:dyDescent="0.2">
      <c r="A27" s="20"/>
      <c r="B27">
        <v>2</v>
      </c>
      <c r="C27">
        <v>28</v>
      </c>
      <c r="D27">
        <v>2.9689753001663801</v>
      </c>
      <c r="F27">
        <v>72.457578639837166</v>
      </c>
      <c r="H27" s="11"/>
      <c r="I27" s="7"/>
    </row>
    <row r="28" spans="1:9" x14ac:dyDescent="0.2">
      <c r="A28" s="20"/>
      <c r="B28">
        <v>3</v>
      </c>
      <c r="C28">
        <v>31</v>
      </c>
      <c r="D28">
        <v>1.3572339407192</v>
      </c>
      <c r="F28">
        <v>80.220890636962565</v>
      </c>
      <c r="H28" s="11"/>
      <c r="I28" s="7"/>
    </row>
    <row r="29" spans="1:9" x14ac:dyDescent="0.2">
      <c r="A29" s="20"/>
      <c r="B29">
        <v>4</v>
      </c>
      <c r="C29">
        <v>30</v>
      </c>
      <c r="D29">
        <v>13.135810096686299</v>
      </c>
      <c r="F29">
        <v>77.633119971254104</v>
      </c>
      <c r="H29" s="11"/>
      <c r="I29" s="7"/>
    </row>
    <row r="30" spans="1:9" x14ac:dyDescent="0.2">
      <c r="A30" s="20"/>
      <c r="B30">
        <v>5</v>
      </c>
      <c r="C30">
        <v>31</v>
      </c>
      <c r="D30">
        <v>99.414446380139594</v>
      </c>
      <c r="F30">
        <v>80.220890636962565</v>
      </c>
      <c r="H30" s="11"/>
      <c r="I30" s="7"/>
    </row>
    <row r="31" spans="1:9" x14ac:dyDescent="0.2">
      <c r="A31" s="20"/>
      <c r="B31">
        <v>6</v>
      </c>
      <c r="C31">
        <v>30</v>
      </c>
      <c r="D31">
        <v>133.97209273218201</v>
      </c>
      <c r="F31">
        <v>77.633119971254104</v>
      </c>
      <c r="H31" s="11"/>
      <c r="I31" s="7"/>
    </row>
    <row r="32" spans="1:9" x14ac:dyDescent="0.2">
      <c r="A32" s="20"/>
      <c r="B32">
        <v>7</v>
      </c>
      <c r="C32">
        <v>31</v>
      </c>
      <c r="D32">
        <v>151.73042203988899</v>
      </c>
      <c r="F32">
        <v>80.220890636962565</v>
      </c>
      <c r="H32" s="11"/>
      <c r="I32" s="7"/>
    </row>
    <row r="33" spans="1:10" x14ac:dyDescent="0.2">
      <c r="A33" s="20"/>
      <c r="B33">
        <v>8</v>
      </c>
      <c r="C33">
        <v>31</v>
      </c>
      <c r="D33">
        <v>165.069286062982</v>
      </c>
      <c r="F33">
        <v>80.220890636962565</v>
      </c>
      <c r="H33" s="11"/>
      <c r="I33" s="7"/>
    </row>
    <row r="34" spans="1:10" x14ac:dyDescent="0.2">
      <c r="A34" s="20"/>
      <c r="B34">
        <v>9</v>
      </c>
      <c r="C34">
        <v>30</v>
      </c>
      <c r="D34">
        <v>157.185609681584</v>
      </c>
      <c r="F34">
        <v>77.633119971254104</v>
      </c>
      <c r="H34" s="11"/>
      <c r="I34" s="7"/>
    </row>
    <row r="35" spans="1:10" x14ac:dyDescent="0.2">
      <c r="A35" s="20"/>
      <c r="B35">
        <v>10</v>
      </c>
      <c r="C35">
        <v>31</v>
      </c>
      <c r="D35">
        <v>93.562447217663106</v>
      </c>
      <c r="F35">
        <v>80.220890636962565</v>
      </c>
      <c r="H35" s="11"/>
      <c r="I35" s="7"/>
    </row>
    <row r="36" spans="1:10" x14ac:dyDescent="0.2">
      <c r="A36" s="20"/>
      <c r="B36">
        <v>11</v>
      </c>
      <c r="C36">
        <v>30</v>
      </c>
      <c r="D36">
        <v>144.78436221556001</v>
      </c>
      <c r="F36">
        <v>77.633119971254104</v>
      </c>
      <c r="H36" s="11"/>
      <c r="I36" s="7"/>
    </row>
    <row r="37" spans="1:10" x14ac:dyDescent="0.2">
      <c r="A37" s="20"/>
      <c r="B37">
        <v>12</v>
      </c>
      <c r="C37">
        <v>31</v>
      </c>
      <c r="D37">
        <v>3.6168044954024499</v>
      </c>
      <c r="F37">
        <v>80.220890636962565</v>
      </c>
      <c r="H37" s="11"/>
      <c r="I37" s="7"/>
    </row>
    <row r="38" spans="1:10" x14ac:dyDescent="0.2">
      <c r="A38" s="20">
        <v>2018</v>
      </c>
      <c r="B38">
        <v>1</v>
      </c>
      <c r="C38">
        <v>31</v>
      </c>
      <c r="D38">
        <v>38.625767913007998</v>
      </c>
      <c r="E38">
        <v>88.28</v>
      </c>
      <c r="F38">
        <v>80.220890636962565</v>
      </c>
      <c r="G38">
        <v>78.596480602249059</v>
      </c>
      <c r="H38" s="11">
        <f>D38+G38</f>
        <v>117.22224851525706</v>
      </c>
      <c r="I38" s="7">
        <f>E38+F38</f>
        <v>168.50089063696257</v>
      </c>
      <c r="J38" s="12">
        <f>I38-H38</f>
        <v>51.278642121705502</v>
      </c>
    </row>
    <row r="39" spans="1:10" x14ac:dyDescent="0.2">
      <c r="A39" s="20"/>
      <c r="B39">
        <v>2</v>
      </c>
      <c r="C39">
        <v>28</v>
      </c>
      <c r="D39">
        <v>0.81760621766804598</v>
      </c>
      <c r="E39">
        <v>113.04</v>
      </c>
      <c r="F39">
        <v>72.457578639837166</v>
      </c>
      <c r="G39">
        <v>59.898124329939805</v>
      </c>
      <c r="H39" s="11">
        <f t="shared" ref="H39:H97" si="0">D39+G39</f>
        <v>60.715730547607848</v>
      </c>
      <c r="I39" s="7">
        <f t="shared" ref="I39:I97" si="1">E39+F39</f>
        <v>185.49757863983717</v>
      </c>
      <c r="J39" s="12">
        <f t="shared" ref="J39:J97" si="2">I39-H39</f>
        <v>124.78184809222932</v>
      </c>
    </row>
    <row r="40" spans="1:10" x14ac:dyDescent="0.2">
      <c r="A40" s="20"/>
      <c r="B40">
        <v>3</v>
      </c>
      <c r="C40">
        <v>31</v>
      </c>
      <c r="D40">
        <v>1.40842672837145</v>
      </c>
      <c r="E40">
        <v>115.63</v>
      </c>
      <c r="F40">
        <v>80.220890636962565</v>
      </c>
      <c r="G40">
        <v>80.498008358755087</v>
      </c>
      <c r="H40" s="11">
        <f t="shared" si="0"/>
        <v>81.906435087126539</v>
      </c>
      <c r="I40" s="7">
        <f t="shared" si="1"/>
        <v>195.85089063696256</v>
      </c>
      <c r="J40" s="12">
        <f t="shared" si="2"/>
        <v>113.94445554983602</v>
      </c>
    </row>
    <row r="41" spans="1:10" x14ac:dyDescent="0.2">
      <c r="A41" s="20"/>
      <c r="B41">
        <v>4</v>
      </c>
      <c r="C41">
        <v>30</v>
      </c>
      <c r="D41">
        <v>11.2510679986655</v>
      </c>
      <c r="E41">
        <v>69.38</v>
      </c>
      <c r="F41">
        <v>77.633119971254104</v>
      </c>
      <c r="G41">
        <v>45.953587448895618</v>
      </c>
      <c r="H41" s="11">
        <f t="shared" si="0"/>
        <v>57.204655447561116</v>
      </c>
      <c r="I41" s="7">
        <f t="shared" si="1"/>
        <v>147.0131199712541</v>
      </c>
      <c r="J41" s="12">
        <f t="shared" si="2"/>
        <v>89.808464523692976</v>
      </c>
    </row>
    <row r="42" spans="1:10" x14ac:dyDescent="0.2">
      <c r="A42" s="20"/>
      <c r="B42">
        <v>5</v>
      </c>
      <c r="C42">
        <v>31</v>
      </c>
      <c r="D42">
        <v>57.9984132112845</v>
      </c>
      <c r="E42">
        <v>55.17</v>
      </c>
      <c r="F42">
        <v>80.220890636962565</v>
      </c>
      <c r="G42">
        <v>2.5353703420080338</v>
      </c>
      <c r="H42" s="11">
        <f t="shared" si="0"/>
        <v>60.533783553292537</v>
      </c>
      <c r="I42" s="7">
        <f t="shared" si="1"/>
        <v>135.39089063696258</v>
      </c>
      <c r="J42" s="12">
        <f t="shared" si="2"/>
        <v>74.857107083670044</v>
      </c>
    </row>
    <row r="43" spans="1:10" x14ac:dyDescent="0.2">
      <c r="A43" s="20"/>
      <c r="B43">
        <v>6</v>
      </c>
      <c r="C43">
        <v>30</v>
      </c>
      <c r="D43">
        <v>176.89525001023</v>
      </c>
      <c r="E43">
        <v>51.85</v>
      </c>
      <c r="F43">
        <v>77.633119971254104</v>
      </c>
      <c r="G43">
        <v>0</v>
      </c>
      <c r="H43" s="11">
        <f t="shared" si="0"/>
        <v>176.89525001023</v>
      </c>
      <c r="I43" s="7">
        <f t="shared" si="1"/>
        <v>129.4831199712541</v>
      </c>
      <c r="J43" s="12"/>
    </row>
    <row r="44" spans="1:10" x14ac:dyDescent="0.2">
      <c r="A44" s="20"/>
      <c r="B44">
        <v>7</v>
      </c>
      <c r="C44">
        <v>31</v>
      </c>
      <c r="D44">
        <v>155.01921643109901</v>
      </c>
      <c r="E44">
        <v>60.13</v>
      </c>
      <c r="F44">
        <v>80.220890636962565</v>
      </c>
      <c r="G44">
        <v>54.827383645923739</v>
      </c>
      <c r="H44" s="11">
        <f t="shared" si="0"/>
        <v>209.84660007702274</v>
      </c>
      <c r="I44" s="7">
        <f t="shared" si="1"/>
        <v>140.35089063696256</v>
      </c>
      <c r="J44" s="12">
        <f t="shared" si="2"/>
        <v>-69.495709440060182</v>
      </c>
    </row>
    <row r="45" spans="1:10" x14ac:dyDescent="0.2">
      <c r="A45" s="20"/>
      <c r="B45">
        <v>8</v>
      </c>
      <c r="C45">
        <v>31</v>
      </c>
      <c r="D45">
        <v>170.08191934590701</v>
      </c>
      <c r="E45">
        <v>79.88</v>
      </c>
      <c r="F45">
        <v>80.220890636962565</v>
      </c>
      <c r="G45">
        <v>49.281261022781159</v>
      </c>
      <c r="H45" s="11">
        <f t="shared" si="0"/>
        <v>219.36318036868818</v>
      </c>
      <c r="I45" s="7">
        <f t="shared" si="1"/>
        <v>160.10089063696256</v>
      </c>
      <c r="J45" s="12">
        <f t="shared" si="2"/>
        <v>-59.262289731725616</v>
      </c>
    </row>
    <row r="46" spans="1:10" x14ac:dyDescent="0.2">
      <c r="A46" s="20"/>
      <c r="B46">
        <v>9</v>
      </c>
      <c r="C46">
        <v>30</v>
      </c>
      <c r="D46">
        <v>162.18357283953401</v>
      </c>
      <c r="E46">
        <v>105.88</v>
      </c>
      <c r="F46">
        <v>77.633119971254104</v>
      </c>
      <c r="G46">
        <v>52.1335526575402</v>
      </c>
      <c r="H46" s="11">
        <f t="shared" si="0"/>
        <v>214.31712549707422</v>
      </c>
      <c r="I46" s="7">
        <f t="shared" si="1"/>
        <v>183.5131199712541</v>
      </c>
      <c r="J46" s="12">
        <f t="shared" si="2"/>
        <v>-30.804005525820116</v>
      </c>
    </row>
    <row r="47" spans="1:10" x14ac:dyDescent="0.2">
      <c r="A47" s="20"/>
      <c r="B47">
        <v>10</v>
      </c>
      <c r="C47">
        <v>31</v>
      </c>
      <c r="D47">
        <v>75.832430954284106</v>
      </c>
      <c r="E47">
        <v>108.73</v>
      </c>
      <c r="F47">
        <v>80.220890636962565</v>
      </c>
      <c r="G47">
        <v>92.382556836917743</v>
      </c>
      <c r="H47" s="11">
        <f t="shared" si="0"/>
        <v>168.21498779120185</v>
      </c>
      <c r="I47" s="7">
        <f t="shared" si="1"/>
        <v>188.95089063696258</v>
      </c>
      <c r="J47" s="12">
        <f t="shared" si="2"/>
        <v>20.735902845760734</v>
      </c>
    </row>
    <row r="48" spans="1:10" x14ac:dyDescent="0.2">
      <c r="A48" s="20"/>
      <c r="B48">
        <v>11</v>
      </c>
      <c r="C48">
        <v>30</v>
      </c>
      <c r="D48">
        <v>24.2261676714398</v>
      </c>
      <c r="E48">
        <v>81.650000000000006</v>
      </c>
      <c r="F48">
        <v>77.633119971254104</v>
      </c>
      <c r="G48">
        <v>93.333320715170757</v>
      </c>
      <c r="H48" s="11">
        <f t="shared" si="0"/>
        <v>117.55948838661055</v>
      </c>
      <c r="I48" s="7">
        <f t="shared" si="1"/>
        <v>159.28311997125411</v>
      </c>
      <c r="J48" s="12">
        <f t="shared" si="2"/>
        <v>41.723631584643556</v>
      </c>
    </row>
    <row r="49" spans="1:10" x14ac:dyDescent="0.2">
      <c r="A49" s="20"/>
      <c r="B49">
        <v>12</v>
      </c>
      <c r="C49">
        <v>31</v>
      </c>
      <c r="D49">
        <v>5.4027114604647197</v>
      </c>
      <c r="E49">
        <v>63.88</v>
      </c>
      <c r="F49">
        <v>80.220890636962565</v>
      </c>
      <c r="G49">
        <v>93.333320715170757</v>
      </c>
      <c r="H49" s="11">
        <f t="shared" si="0"/>
        <v>98.736032175635472</v>
      </c>
      <c r="I49" s="7">
        <f t="shared" si="1"/>
        <v>144.10089063696256</v>
      </c>
      <c r="J49" s="12">
        <f t="shared" si="2"/>
        <v>45.364858461327088</v>
      </c>
    </row>
    <row r="50" spans="1:10" x14ac:dyDescent="0.2">
      <c r="A50" s="20">
        <v>2019</v>
      </c>
      <c r="B50">
        <v>1</v>
      </c>
      <c r="C50">
        <v>31</v>
      </c>
      <c r="D50">
        <v>32.366825698833601</v>
      </c>
      <c r="E50">
        <v>84</v>
      </c>
      <c r="F50">
        <v>80.220890636962565</v>
      </c>
      <c r="G50">
        <v>88.579501323905689</v>
      </c>
      <c r="H50" s="11">
        <f t="shared" si="0"/>
        <v>120.9463270227393</v>
      </c>
      <c r="I50" s="7">
        <f t="shared" si="1"/>
        <v>164.22089063696257</v>
      </c>
      <c r="J50" s="12">
        <f t="shared" si="2"/>
        <v>43.274563614223268</v>
      </c>
    </row>
    <row r="51" spans="1:10" x14ac:dyDescent="0.2">
      <c r="A51" s="20"/>
      <c r="B51">
        <v>2</v>
      </c>
      <c r="C51">
        <v>28</v>
      </c>
      <c r="D51">
        <v>0.91147316018330304</v>
      </c>
      <c r="E51">
        <v>115.23</v>
      </c>
      <c r="F51">
        <v>72.457578639837166</v>
      </c>
      <c r="G51">
        <v>96.344072996305286</v>
      </c>
      <c r="H51" s="11">
        <f t="shared" si="0"/>
        <v>97.255546156488592</v>
      </c>
      <c r="I51" s="7">
        <f t="shared" si="1"/>
        <v>187.68757863983717</v>
      </c>
      <c r="J51" s="12">
        <f t="shared" si="2"/>
        <v>90.432032483348578</v>
      </c>
    </row>
    <row r="52" spans="1:10" x14ac:dyDescent="0.2">
      <c r="A52" s="20"/>
      <c r="B52">
        <v>3</v>
      </c>
      <c r="C52">
        <v>31</v>
      </c>
      <c r="D52">
        <v>0.37016588725537197</v>
      </c>
      <c r="E52">
        <v>133.88</v>
      </c>
      <c r="F52">
        <v>80.220890636962565</v>
      </c>
      <c r="G52">
        <v>111.8732163411045</v>
      </c>
      <c r="H52" s="11">
        <f t="shared" si="0"/>
        <v>112.24338222835986</v>
      </c>
      <c r="I52" s="7">
        <f t="shared" si="1"/>
        <v>214.10089063696256</v>
      </c>
      <c r="J52" s="12">
        <f t="shared" si="2"/>
        <v>101.8575084086027</v>
      </c>
    </row>
    <row r="53" spans="1:10" x14ac:dyDescent="0.2">
      <c r="A53" s="20"/>
      <c r="B53">
        <v>4</v>
      </c>
      <c r="C53">
        <v>30</v>
      </c>
      <c r="D53">
        <v>11.5373474141998</v>
      </c>
      <c r="E53">
        <v>103.41</v>
      </c>
      <c r="F53">
        <v>77.633119971254104</v>
      </c>
      <c r="G53">
        <v>38.822858361998023</v>
      </c>
      <c r="H53" s="11">
        <f t="shared" si="0"/>
        <v>50.360205776197823</v>
      </c>
      <c r="I53" s="7">
        <f t="shared" si="1"/>
        <v>181.0431199712541</v>
      </c>
      <c r="J53" s="12">
        <f t="shared" si="2"/>
        <v>130.68291419505627</v>
      </c>
    </row>
    <row r="54" spans="1:10" x14ac:dyDescent="0.2">
      <c r="A54" s="20"/>
      <c r="B54">
        <v>5</v>
      </c>
      <c r="C54">
        <v>31</v>
      </c>
      <c r="D54">
        <v>80.409060229640104</v>
      </c>
      <c r="E54">
        <v>77.59</v>
      </c>
      <c r="F54">
        <v>80.220890636962565</v>
      </c>
      <c r="G54">
        <v>7.7645716723996046</v>
      </c>
      <c r="H54" s="11">
        <f t="shared" si="0"/>
        <v>88.173631902039716</v>
      </c>
      <c r="I54" s="7">
        <f t="shared" si="1"/>
        <v>157.81089063696257</v>
      </c>
      <c r="J54" s="12">
        <f t="shared" si="2"/>
        <v>69.637258734922852</v>
      </c>
    </row>
    <row r="55" spans="1:10" x14ac:dyDescent="0.2">
      <c r="A55" s="20"/>
      <c r="B55">
        <v>6</v>
      </c>
      <c r="C55">
        <v>30</v>
      </c>
      <c r="D55">
        <v>150.019566963101</v>
      </c>
      <c r="E55">
        <v>83.22</v>
      </c>
      <c r="F55">
        <v>77.633119971254104</v>
      </c>
      <c r="G55">
        <v>0</v>
      </c>
      <c r="H55" s="11">
        <f t="shared" si="0"/>
        <v>150.019566963101</v>
      </c>
      <c r="I55" s="7">
        <f t="shared" si="1"/>
        <v>160.8531199712541</v>
      </c>
      <c r="J55" s="12"/>
    </row>
    <row r="56" spans="1:10" x14ac:dyDescent="0.2">
      <c r="A56" s="20"/>
      <c r="B56">
        <v>7</v>
      </c>
      <c r="C56">
        <v>31</v>
      </c>
      <c r="D56">
        <v>149.485639981497</v>
      </c>
      <c r="E56">
        <v>87.29</v>
      </c>
      <c r="F56">
        <v>80.220890636962565</v>
      </c>
      <c r="G56">
        <v>82.082614822510095</v>
      </c>
      <c r="H56" s="11">
        <f t="shared" si="0"/>
        <v>231.5682548040071</v>
      </c>
      <c r="I56" s="7">
        <f t="shared" si="1"/>
        <v>167.51089063696259</v>
      </c>
      <c r="J56" s="12">
        <f t="shared" si="2"/>
        <v>-64.057364167044511</v>
      </c>
    </row>
    <row r="57" spans="1:10" x14ac:dyDescent="0.2">
      <c r="A57" s="20"/>
      <c r="B57">
        <v>8</v>
      </c>
      <c r="C57">
        <v>31</v>
      </c>
      <c r="D57">
        <v>165.01011806553799</v>
      </c>
      <c r="E57">
        <v>86.33</v>
      </c>
      <c r="F57">
        <v>80.220890636962565</v>
      </c>
      <c r="G57">
        <v>61.799652086445832</v>
      </c>
      <c r="H57" s="11">
        <f t="shared" si="0"/>
        <v>226.80977015198383</v>
      </c>
      <c r="I57" s="7">
        <f t="shared" si="1"/>
        <v>166.55089063696255</v>
      </c>
      <c r="J57" s="12">
        <f t="shared" si="2"/>
        <v>-60.258879515021277</v>
      </c>
    </row>
    <row r="58" spans="1:10" x14ac:dyDescent="0.2">
      <c r="A58" s="20"/>
      <c r="B58">
        <v>9</v>
      </c>
      <c r="C58">
        <v>30</v>
      </c>
      <c r="D58">
        <v>163.12672659798301</v>
      </c>
      <c r="E58">
        <v>91.96</v>
      </c>
      <c r="F58">
        <v>77.633119971254104</v>
      </c>
      <c r="G58">
        <v>45.161284217018107</v>
      </c>
      <c r="H58" s="11">
        <f t="shared" si="0"/>
        <v>208.28801081500112</v>
      </c>
      <c r="I58" s="7">
        <f t="shared" si="1"/>
        <v>169.59311997125411</v>
      </c>
      <c r="J58" s="12">
        <f t="shared" si="2"/>
        <v>-38.694890843747004</v>
      </c>
    </row>
    <row r="59" spans="1:10" x14ac:dyDescent="0.2">
      <c r="A59" s="20"/>
      <c r="B59">
        <v>10</v>
      </c>
      <c r="C59">
        <v>31</v>
      </c>
      <c r="D59">
        <v>66.812569261354398</v>
      </c>
      <c r="E59">
        <v>114.66</v>
      </c>
      <c r="F59">
        <v>80.220890636962565</v>
      </c>
      <c r="G59">
        <v>91.590253605040232</v>
      </c>
      <c r="H59" s="11">
        <f t="shared" si="0"/>
        <v>158.40282286639462</v>
      </c>
      <c r="I59" s="7">
        <f t="shared" si="1"/>
        <v>194.88089063696256</v>
      </c>
      <c r="J59" s="12">
        <f t="shared" si="2"/>
        <v>36.478067770567947</v>
      </c>
    </row>
    <row r="60" spans="1:10" x14ac:dyDescent="0.2">
      <c r="A60" s="20"/>
      <c r="B60">
        <v>11</v>
      </c>
      <c r="C60">
        <v>30</v>
      </c>
      <c r="D60">
        <v>141.231021418083</v>
      </c>
      <c r="E60">
        <v>68.34</v>
      </c>
      <c r="F60">
        <v>77.633119971254104</v>
      </c>
      <c r="G60">
        <v>22.659872431696805</v>
      </c>
      <c r="H60" s="11">
        <f t="shared" si="0"/>
        <v>163.89089384977981</v>
      </c>
      <c r="I60" s="7">
        <f t="shared" si="1"/>
        <v>145.97311997125411</v>
      </c>
      <c r="J60" s="12">
        <f t="shared" si="2"/>
        <v>-17.917773878525708</v>
      </c>
    </row>
    <row r="61" spans="1:10" x14ac:dyDescent="0.2">
      <c r="A61" s="20"/>
      <c r="B61">
        <v>12</v>
      </c>
      <c r="C61">
        <v>31</v>
      </c>
      <c r="D61">
        <v>7.5317565876588901</v>
      </c>
      <c r="E61">
        <v>68.89</v>
      </c>
      <c r="F61">
        <v>80.220890636962565</v>
      </c>
      <c r="G61">
        <v>83.667221286265118</v>
      </c>
      <c r="H61" s="11">
        <f t="shared" si="0"/>
        <v>91.198977873924008</v>
      </c>
      <c r="I61" s="7">
        <f t="shared" si="1"/>
        <v>149.11089063696255</v>
      </c>
      <c r="J61" s="12">
        <f t="shared" si="2"/>
        <v>57.911912763038544</v>
      </c>
    </row>
    <row r="62" spans="1:10" x14ac:dyDescent="0.2">
      <c r="A62" s="20">
        <v>2020</v>
      </c>
      <c r="B62">
        <v>1</v>
      </c>
      <c r="C62">
        <v>31</v>
      </c>
      <c r="D62">
        <v>25.230724123965999</v>
      </c>
      <c r="E62">
        <v>92.72</v>
      </c>
      <c r="F62">
        <v>80.220890636962565</v>
      </c>
      <c r="G62">
        <v>80.339547712379584</v>
      </c>
      <c r="H62" s="11">
        <f t="shared" si="0"/>
        <v>105.57027183634558</v>
      </c>
      <c r="I62" s="7">
        <f t="shared" si="1"/>
        <v>172.94089063696256</v>
      </c>
      <c r="J62" s="12">
        <f t="shared" si="2"/>
        <v>67.370618800616981</v>
      </c>
    </row>
    <row r="63" spans="1:10" x14ac:dyDescent="0.2">
      <c r="A63" s="20"/>
      <c r="B63">
        <v>2</v>
      </c>
      <c r="C63">
        <v>29</v>
      </c>
      <c r="D63">
        <v>4.3122829184941898</v>
      </c>
      <c r="E63">
        <v>118.03</v>
      </c>
      <c r="F63">
        <v>75.045349305545628</v>
      </c>
      <c r="G63">
        <v>76.219570906616525</v>
      </c>
      <c r="H63" s="11">
        <f t="shared" si="0"/>
        <v>80.531853825110716</v>
      </c>
      <c r="I63" s="7">
        <f t="shared" si="1"/>
        <v>193.07534930554561</v>
      </c>
      <c r="J63" s="12">
        <f t="shared" si="2"/>
        <v>112.5434954804349</v>
      </c>
    </row>
    <row r="64" spans="1:10" x14ac:dyDescent="0.2">
      <c r="A64" s="20"/>
      <c r="B64">
        <v>3</v>
      </c>
      <c r="C64">
        <v>31</v>
      </c>
      <c r="D64">
        <v>0.94451668614143103</v>
      </c>
      <c r="E64">
        <v>123.79</v>
      </c>
      <c r="F64">
        <v>80.220890636962565</v>
      </c>
      <c r="G64">
        <v>93.650242007921761</v>
      </c>
      <c r="H64" s="11">
        <f t="shared" si="0"/>
        <v>94.594758694063188</v>
      </c>
      <c r="I64" s="7">
        <f t="shared" si="1"/>
        <v>204.01089063696259</v>
      </c>
      <c r="J64" s="12">
        <f t="shared" si="2"/>
        <v>109.4161319428994</v>
      </c>
    </row>
    <row r="65" spans="1:10" x14ac:dyDescent="0.2">
      <c r="A65" s="20"/>
      <c r="B65">
        <v>4</v>
      </c>
      <c r="C65">
        <v>30</v>
      </c>
      <c r="D65">
        <v>11.127626695888701</v>
      </c>
      <c r="E65">
        <v>83.43</v>
      </c>
      <c r="F65">
        <v>77.633119971254104</v>
      </c>
      <c r="G65">
        <v>39.139779654749027</v>
      </c>
      <c r="H65" s="11">
        <f t="shared" si="0"/>
        <v>50.267406350637728</v>
      </c>
      <c r="I65" s="7">
        <f t="shared" si="1"/>
        <v>161.06311997125411</v>
      </c>
      <c r="J65" s="12">
        <f t="shared" si="2"/>
        <v>110.79571362061638</v>
      </c>
    </row>
    <row r="66" spans="1:10" x14ac:dyDescent="0.2">
      <c r="A66" s="20"/>
      <c r="B66">
        <v>5</v>
      </c>
      <c r="C66">
        <v>31</v>
      </c>
      <c r="D66">
        <v>77.454370870306505</v>
      </c>
      <c r="E66">
        <v>85.73</v>
      </c>
      <c r="F66">
        <v>80.220890636962565</v>
      </c>
      <c r="G66">
        <v>2.2184490492570297</v>
      </c>
      <c r="H66" s="11">
        <f t="shared" si="0"/>
        <v>79.672819919563537</v>
      </c>
      <c r="I66" s="7">
        <f t="shared" si="1"/>
        <v>165.95089063696258</v>
      </c>
      <c r="J66" s="12">
        <f t="shared" si="2"/>
        <v>86.278070717399046</v>
      </c>
    </row>
    <row r="67" spans="1:10" x14ac:dyDescent="0.2">
      <c r="A67" s="20"/>
      <c r="B67">
        <v>6</v>
      </c>
      <c r="C67">
        <v>30</v>
      </c>
      <c r="D67">
        <v>143.50636432449099</v>
      </c>
      <c r="E67">
        <v>102.08</v>
      </c>
      <c r="F67">
        <v>77.633119971254104</v>
      </c>
      <c r="G67">
        <v>74.793425089237004</v>
      </c>
      <c r="H67" s="11">
        <f t="shared" si="0"/>
        <v>218.29978941372798</v>
      </c>
      <c r="I67" s="7">
        <f t="shared" si="1"/>
        <v>179.71311997125412</v>
      </c>
      <c r="J67" s="12">
        <f t="shared" si="2"/>
        <v>-38.586669442473863</v>
      </c>
    </row>
    <row r="68" spans="1:10" x14ac:dyDescent="0.2">
      <c r="A68" s="20"/>
      <c r="B68">
        <v>7</v>
      </c>
      <c r="C68">
        <v>31</v>
      </c>
      <c r="D68">
        <v>122.05363389252599</v>
      </c>
      <c r="E68">
        <v>116.37</v>
      </c>
      <c r="F68">
        <v>80.220890636962565</v>
      </c>
      <c r="G68">
        <v>72.258054747228968</v>
      </c>
      <c r="H68" s="11">
        <f t="shared" si="0"/>
        <v>194.31168863975495</v>
      </c>
      <c r="I68" s="7">
        <f t="shared" si="1"/>
        <v>196.59089063696257</v>
      </c>
      <c r="J68" s="12">
        <f t="shared" si="2"/>
        <v>2.2792019972076218</v>
      </c>
    </row>
    <row r="69" spans="1:10" x14ac:dyDescent="0.2">
      <c r="A69" s="20"/>
      <c r="B69">
        <v>8</v>
      </c>
      <c r="C69">
        <v>31</v>
      </c>
      <c r="D69">
        <v>154.726014444653</v>
      </c>
      <c r="E69">
        <v>101.39</v>
      </c>
      <c r="F69">
        <v>80.220890636962565</v>
      </c>
      <c r="G69">
        <v>73.684200564608489</v>
      </c>
      <c r="H69" s="11">
        <f t="shared" si="0"/>
        <v>228.41021500926149</v>
      </c>
      <c r="I69" s="7">
        <f t="shared" si="1"/>
        <v>181.61089063696255</v>
      </c>
      <c r="J69" s="12">
        <f t="shared" si="2"/>
        <v>-46.79932437229894</v>
      </c>
    </row>
    <row r="70" spans="1:10" x14ac:dyDescent="0.2">
      <c r="A70" s="20"/>
      <c r="B70">
        <v>9</v>
      </c>
      <c r="C70">
        <v>30</v>
      </c>
      <c r="D70">
        <v>149.29854946149501</v>
      </c>
      <c r="E70">
        <v>116.68</v>
      </c>
      <c r="F70">
        <v>77.633119971254104</v>
      </c>
      <c r="G70">
        <v>56.570450756054257</v>
      </c>
      <c r="H70" s="11">
        <f t="shared" si="0"/>
        <v>205.86900021754929</v>
      </c>
      <c r="I70" s="7">
        <f t="shared" si="1"/>
        <v>194.31311997125411</v>
      </c>
      <c r="J70" s="12">
        <f t="shared" si="2"/>
        <v>-11.555880246295175</v>
      </c>
    </row>
    <row r="71" spans="1:10" x14ac:dyDescent="0.2">
      <c r="A71" s="20"/>
      <c r="B71">
        <v>10</v>
      </c>
      <c r="C71">
        <v>31</v>
      </c>
      <c r="D71">
        <v>148.285024644544</v>
      </c>
      <c r="E71">
        <v>78.97</v>
      </c>
      <c r="F71">
        <v>80.220890636962565</v>
      </c>
      <c r="G71">
        <v>23.135254370823311</v>
      </c>
      <c r="H71" s="11">
        <f t="shared" si="0"/>
        <v>171.4202790153673</v>
      </c>
      <c r="I71" s="7">
        <f t="shared" si="1"/>
        <v>159.19089063696256</v>
      </c>
      <c r="J71" s="12">
        <f t="shared" si="2"/>
        <v>-12.229388378404735</v>
      </c>
    </row>
    <row r="72" spans="1:10" x14ac:dyDescent="0.2">
      <c r="A72" s="20"/>
      <c r="B72">
        <v>11</v>
      </c>
      <c r="C72">
        <v>30</v>
      </c>
      <c r="D72">
        <v>160.41735038750301</v>
      </c>
      <c r="E72">
        <v>66.66</v>
      </c>
      <c r="F72">
        <v>77.633119971254104</v>
      </c>
      <c r="G72">
        <v>22.659872431696805</v>
      </c>
      <c r="H72" s="11">
        <f t="shared" si="0"/>
        <v>183.07722281919982</v>
      </c>
      <c r="I72" s="7">
        <f t="shared" si="1"/>
        <v>144.2931199712541</v>
      </c>
      <c r="J72" s="12">
        <f t="shared" si="2"/>
        <v>-38.784102847945718</v>
      </c>
    </row>
    <row r="73" spans="1:10" x14ac:dyDescent="0.2">
      <c r="A73" s="20"/>
      <c r="B73">
        <v>12</v>
      </c>
      <c r="C73">
        <v>31</v>
      </c>
      <c r="D73">
        <v>10.4783555571252</v>
      </c>
      <c r="E73">
        <v>61.49</v>
      </c>
      <c r="F73">
        <v>80.220890636962565</v>
      </c>
      <c r="G73">
        <v>61.165809500943823</v>
      </c>
      <c r="H73" s="11">
        <f t="shared" si="0"/>
        <v>71.644165058069021</v>
      </c>
      <c r="I73" s="7">
        <f t="shared" si="1"/>
        <v>141.71089063696257</v>
      </c>
      <c r="J73" s="12">
        <f t="shared" si="2"/>
        <v>70.066725578893553</v>
      </c>
    </row>
    <row r="74" spans="1:10" x14ac:dyDescent="0.2">
      <c r="A74" s="20">
        <v>2021</v>
      </c>
      <c r="B74">
        <v>1</v>
      </c>
      <c r="C74">
        <v>31</v>
      </c>
      <c r="D74">
        <v>84.345725484604898</v>
      </c>
      <c r="E74">
        <v>87.09</v>
      </c>
      <c r="F74">
        <v>80.220890636962565</v>
      </c>
      <c r="G74">
        <v>95.23484847167677</v>
      </c>
      <c r="H74" s="11">
        <f t="shared" si="0"/>
        <v>179.58057395628168</v>
      </c>
      <c r="I74" s="7">
        <f t="shared" si="1"/>
        <v>167.31089063696257</v>
      </c>
      <c r="J74" s="12">
        <f t="shared" si="2"/>
        <v>-12.269683319319114</v>
      </c>
    </row>
    <row r="75" spans="1:10" x14ac:dyDescent="0.2">
      <c r="A75" s="20"/>
      <c r="B75">
        <v>2</v>
      </c>
      <c r="C75">
        <v>28</v>
      </c>
      <c r="D75">
        <v>5.4680938898880802</v>
      </c>
      <c r="E75">
        <v>97.9</v>
      </c>
      <c r="F75">
        <v>72.457578639837166</v>
      </c>
      <c r="G75">
        <v>66.553471477710886</v>
      </c>
      <c r="H75" s="11">
        <f t="shared" si="0"/>
        <v>72.021565367598967</v>
      </c>
      <c r="I75" s="7">
        <f t="shared" si="1"/>
        <v>170.35757863983719</v>
      </c>
      <c r="J75" s="12">
        <f t="shared" si="2"/>
        <v>98.336013272238219</v>
      </c>
    </row>
    <row r="76" spans="1:10" x14ac:dyDescent="0.2">
      <c r="A76" s="20"/>
      <c r="B76">
        <v>3</v>
      </c>
      <c r="C76">
        <v>31</v>
      </c>
      <c r="D76">
        <v>2.8797893252509001</v>
      </c>
      <c r="E76">
        <v>107.75</v>
      </c>
      <c r="F76">
        <v>80.220890636962565</v>
      </c>
      <c r="G76">
        <v>114.88396862223904</v>
      </c>
      <c r="H76" s="11">
        <f t="shared" si="0"/>
        <v>117.76375794748994</v>
      </c>
      <c r="I76" s="7">
        <f t="shared" si="1"/>
        <v>187.97089063696257</v>
      </c>
      <c r="J76" s="12">
        <f t="shared" si="2"/>
        <v>70.20713268947263</v>
      </c>
    </row>
    <row r="77" spans="1:10" x14ac:dyDescent="0.2">
      <c r="A77" s="20"/>
      <c r="B77">
        <v>4</v>
      </c>
      <c r="C77">
        <v>30</v>
      </c>
      <c r="D77">
        <v>6.3185346302580703</v>
      </c>
      <c r="E77">
        <v>74.62</v>
      </c>
      <c r="F77">
        <v>77.633119971254104</v>
      </c>
      <c r="G77">
        <v>48.330497144528145</v>
      </c>
      <c r="H77" s="11">
        <f t="shared" si="0"/>
        <v>54.649031774786216</v>
      </c>
      <c r="I77" s="7">
        <f t="shared" si="1"/>
        <v>152.25311997125411</v>
      </c>
      <c r="J77" s="12">
        <f t="shared" si="2"/>
        <v>97.604088196467899</v>
      </c>
    </row>
    <row r="78" spans="1:10" x14ac:dyDescent="0.2">
      <c r="A78" s="20"/>
      <c r="B78">
        <v>5</v>
      </c>
      <c r="C78">
        <v>31</v>
      </c>
      <c r="D78">
        <v>29.998044295109899</v>
      </c>
      <c r="E78">
        <v>65.72</v>
      </c>
      <c r="F78">
        <v>80.220890636962565</v>
      </c>
      <c r="G78">
        <v>11.250705892660651</v>
      </c>
      <c r="H78" s="11">
        <f t="shared" si="0"/>
        <v>41.248750187770554</v>
      </c>
      <c r="I78" s="7">
        <f t="shared" si="1"/>
        <v>145.94089063696256</v>
      </c>
      <c r="J78" s="12">
        <f t="shared" si="2"/>
        <v>104.69214044919201</v>
      </c>
    </row>
    <row r="79" spans="1:10" x14ac:dyDescent="0.2">
      <c r="A79" s="20"/>
      <c r="B79">
        <v>6</v>
      </c>
      <c r="C79">
        <v>30</v>
      </c>
      <c r="D79">
        <v>145.555160056793</v>
      </c>
      <c r="E79">
        <v>73.11</v>
      </c>
      <c r="F79">
        <v>77.633119971254104</v>
      </c>
      <c r="G79">
        <v>15.529143344799209</v>
      </c>
      <c r="H79" s="11">
        <f t="shared" si="0"/>
        <v>161.08430340159219</v>
      </c>
      <c r="I79" s="7">
        <f t="shared" si="1"/>
        <v>150.74311997125409</v>
      </c>
      <c r="J79" s="12">
        <f t="shared" si="2"/>
        <v>-10.341183430338106</v>
      </c>
    </row>
    <row r="80" spans="1:10" x14ac:dyDescent="0.2">
      <c r="A80" s="20"/>
      <c r="B80">
        <v>7</v>
      </c>
      <c r="C80">
        <v>31</v>
      </c>
      <c r="D80">
        <v>166.602834980095</v>
      </c>
      <c r="E80">
        <v>86.15</v>
      </c>
      <c r="F80">
        <v>80.220890636962565</v>
      </c>
      <c r="G80">
        <v>76.378031552992027</v>
      </c>
      <c r="H80" s="11">
        <f t="shared" si="0"/>
        <v>242.98086653308701</v>
      </c>
      <c r="I80" s="7">
        <f t="shared" si="1"/>
        <v>166.37089063696257</v>
      </c>
      <c r="J80" s="12">
        <f t="shared" si="2"/>
        <v>-76.609975896124439</v>
      </c>
    </row>
    <row r="81" spans="1:10" x14ac:dyDescent="0.2">
      <c r="A81" s="20"/>
      <c r="B81">
        <v>8</v>
      </c>
      <c r="C81">
        <v>31</v>
      </c>
      <c r="D81">
        <v>148.11262228502</v>
      </c>
      <c r="E81">
        <v>107.82</v>
      </c>
      <c r="F81">
        <v>80.220890636962565</v>
      </c>
      <c r="G81">
        <v>65.12732566033138</v>
      </c>
      <c r="H81" s="11">
        <f t="shared" si="0"/>
        <v>213.23994794535139</v>
      </c>
      <c r="I81" s="7">
        <f t="shared" si="1"/>
        <v>188.04089063696256</v>
      </c>
      <c r="J81" s="12">
        <f t="shared" si="2"/>
        <v>-25.199057308388831</v>
      </c>
    </row>
    <row r="82" spans="1:10" x14ac:dyDescent="0.2">
      <c r="A82" s="20"/>
      <c r="B82">
        <v>9</v>
      </c>
      <c r="C82">
        <v>30</v>
      </c>
      <c r="D82">
        <v>156.16849082440899</v>
      </c>
      <c r="E82">
        <v>106.08</v>
      </c>
      <c r="F82">
        <v>77.633119971254104</v>
      </c>
      <c r="G82">
        <v>67.345774709588397</v>
      </c>
      <c r="H82" s="11">
        <f t="shared" si="0"/>
        <v>223.51426553399739</v>
      </c>
      <c r="I82" s="7">
        <f t="shared" si="1"/>
        <v>183.71311997125412</v>
      </c>
      <c r="J82" s="12">
        <f t="shared" si="2"/>
        <v>-39.801145562743272</v>
      </c>
    </row>
    <row r="83" spans="1:10" x14ac:dyDescent="0.2">
      <c r="A83" s="20"/>
      <c r="B83">
        <v>10</v>
      </c>
      <c r="C83">
        <v>31</v>
      </c>
      <c r="D83">
        <v>95.588907192049803</v>
      </c>
      <c r="E83">
        <v>84.78</v>
      </c>
      <c r="F83">
        <v>80.220890636962565</v>
      </c>
      <c r="G83">
        <v>48.64741843727915</v>
      </c>
      <c r="H83" s="11">
        <f t="shared" si="0"/>
        <v>144.23632562932895</v>
      </c>
      <c r="I83" s="7">
        <f t="shared" si="1"/>
        <v>165.00089063696257</v>
      </c>
      <c r="J83" s="12">
        <f t="shared" si="2"/>
        <v>20.764565007633621</v>
      </c>
    </row>
    <row r="84" spans="1:10" x14ac:dyDescent="0.2">
      <c r="A84" s="20"/>
      <c r="B84">
        <v>11</v>
      </c>
      <c r="C84">
        <v>30</v>
      </c>
      <c r="D84">
        <v>81.794465866992496</v>
      </c>
      <c r="E84">
        <v>70.02</v>
      </c>
      <c r="F84">
        <v>77.633119971254104</v>
      </c>
      <c r="G84">
        <v>32.167511214226934</v>
      </c>
      <c r="H84" s="11">
        <f t="shared" si="0"/>
        <v>113.96197708121943</v>
      </c>
      <c r="I84" s="7">
        <f t="shared" si="1"/>
        <v>147.65311997125411</v>
      </c>
      <c r="J84" s="12">
        <f t="shared" si="2"/>
        <v>33.691142890034683</v>
      </c>
    </row>
    <row r="85" spans="1:10" x14ac:dyDescent="0.2">
      <c r="A85" s="20"/>
      <c r="B85">
        <v>12</v>
      </c>
      <c r="C85">
        <v>31</v>
      </c>
      <c r="D85">
        <v>2.4473862363923602</v>
      </c>
      <c r="E85">
        <v>67.97</v>
      </c>
      <c r="F85">
        <v>80.220890636962565</v>
      </c>
      <c r="G85">
        <v>104.2671053150804</v>
      </c>
      <c r="H85" s="11">
        <f t="shared" si="0"/>
        <v>106.71449155147276</v>
      </c>
      <c r="I85" s="7">
        <f t="shared" si="1"/>
        <v>148.19089063696256</v>
      </c>
      <c r="J85" s="12">
        <f t="shared" si="2"/>
        <v>41.476399085489803</v>
      </c>
    </row>
    <row r="86" spans="1:10" x14ac:dyDescent="0.2">
      <c r="A86" s="20">
        <v>2022</v>
      </c>
      <c r="B86">
        <v>1</v>
      </c>
      <c r="C86">
        <v>31</v>
      </c>
      <c r="D86">
        <v>30.234582400701001</v>
      </c>
      <c r="E86">
        <v>92.58</v>
      </c>
      <c r="F86">
        <v>80.220890636962565</v>
      </c>
      <c r="G86">
        <v>80.814929651506077</v>
      </c>
      <c r="H86" s="11">
        <f t="shared" si="0"/>
        <v>111.04951205220708</v>
      </c>
      <c r="I86" s="7">
        <f t="shared" si="1"/>
        <v>172.80089063696255</v>
      </c>
      <c r="J86" s="12">
        <f t="shared" si="2"/>
        <v>61.751378584755471</v>
      </c>
    </row>
    <row r="87" spans="1:10" x14ac:dyDescent="0.2">
      <c r="A87" s="20"/>
      <c r="B87">
        <v>2</v>
      </c>
      <c r="C87">
        <v>28</v>
      </c>
      <c r="D87">
        <v>2.80296529533492</v>
      </c>
      <c r="E87">
        <v>111.3</v>
      </c>
      <c r="F87">
        <v>72.457578639837166</v>
      </c>
      <c r="G87">
        <v>77.011874138494036</v>
      </c>
      <c r="H87" s="11">
        <f t="shared" si="0"/>
        <v>79.814839433828951</v>
      </c>
      <c r="I87" s="7">
        <f t="shared" si="1"/>
        <v>183.75757863983716</v>
      </c>
      <c r="J87" s="12">
        <f t="shared" si="2"/>
        <v>103.94273920600821</v>
      </c>
    </row>
    <row r="88" spans="1:10" x14ac:dyDescent="0.2">
      <c r="A88" s="20"/>
      <c r="B88">
        <v>3</v>
      </c>
      <c r="C88">
        <v>31</v>
      </c>
      <c r="D88">
        <v>5.9497795016664803</v>
      </c>
      <c r="E88">
        <v>119.59</v>
      </c>
      <c r="F88">
        <v>80.220890636962565</v>
      </c>
      <c r="G88">
        <v>86.519512921024159</v>
      </c>
      <c r="H88" s="11">
        <f t="shared" si="0"/>
        <v>92.469292422690643</v>
      </c>
      <c r="I88" s="7">
        <f t="shared" si="1"/>
        <v>199.81089063696257</v>
      </c>
      <c r="J88" s="12">
        <f t="shared" si="2"/>
        <v>107.34159821427193</v>
      </c>
    </row>
    <row r="89" spans="1:10" x14ac:dyDescent="0.2">
      <c r="A89" s="20"/>
      <c r="B89">
        <v>4</v>
      </c>
      <c r="C89">
        <v>30</v>
      </c>
      <c r="D89">
        <v>17.750839625343598</v>
      </c>
      <c r="F89">
        <v>77.633119971254104</v>
      </c>
      <c r="G89">
        <v>33.118275092479941</v>
      </c>
      <c r="H89" s="11">
        <f t="shared" si="0"/>
        <v>50.869114717823535</v>
      </c>
      <c r="I89" s="7">
        <f t="shared" si="1"/>
        <v>77.633119971254104</v>
      </c>
      <c r="J89" s="12"/>
    </row>
    <row r="90" spans="1:10" x14ac:dyDescent="0.2">
      <c r="A90" s="20"/>
      <c r="B90">
        <v>5</v>
      </c>
      <c r="C90">
        <v>31</v>
      </c>
      <c r="D90">
        <v>70.729140550729994</v>
      </c>
      <c r="E90">
        <v>44.24</v>
      </c>
      <c r="F90">
        <v>80.220890636962565</v>
      </c>
      <c r="G90">
        <v>0</v>
      </c>
      <c r="H90" s="11">
        <f t="shared" si="0"/>
        <v>70.729140550729994</v>
      </c>
      <c r="I90" s="7">
        <f t="shared" si="1"/>
        <v>124.46089063696257</v>
      </c>
      <c r="J90" s="12"/>
    </row>
    <row r="91" spans="1:10" x14ac:dyDescent="0.2">
      <c r="A91" s="20"/>
      <c r="B91">
        <v>6</v>
      </c>
      <c r="C91">
        <v>30</v>
      </c>
      <c r="D91">
        <v>148.566336053469</v>
      </c>
      <c r="E91">
        <v>68.53</v>
      </c>
      <c r="F91">
        <v>77.633119971254104</v>
      </c>
      <c r="G91">
        <v>27.572152469337368</v>
      </c>
      <c r="H91" s="11">
        <f t="shared" si="0"/>
        <v>176.13848852280637</v>
      </c>
      <c r="I91" s="7">
        <f t="shared" si="1"/>
        <v>146.1631199712541</v>
      </c>
      <c r="J91" s="12">
        <f t="shared" si="2"/>
        <v>-29.975368551552265</v>
      </c>
    </row>
    <row r="92" spans="1:10" x14ac:dyDescent="0.2">
      <c r="A92" s="20"/>
      <c r="B92">
        <v>7</v>
      </c>
      <c r="C92">
        <v>31</v>
      </c>
      <c r="D92">
        <v>152.311560892188</v>
      </c>
      <c r="E92">
        <v>95.38</v>
      </c>
      <c r="F92">
        <v>80.220890636962565</v>
      </c>
      <c r="G92">
        <v>83.667221286265118</v>
      </c>
      <c r="H92" s="11">
        <f t="shared" si="0"/>
        <v>235.97878217845312</v>
      </c>
      <c r="I92" s="7">
        <f t="shared" si="1"/>
        <v>175.60089063696256</v>
      </c>
      <c r="J92" s="12">
        <f t="shared" si="2"/>
        <v>-60.377891541490555</v>
      </c>
    </row>
    <row r="93" spans="1:10" x14ac:dyDescent="0.2">
      <c r="A93" s="20"/>
      <c r="B93">
        <v>8</v>
      </c>
      <c r="C93">
        <v>31</v>
      </c>
      <c r="D93">
        <v>158.27907776887301</v>
      </c>
      <c r="E93">
        <v>95.43</v>
      </c>
      <c r="F93">
        <v>80.220890636962565</v>
      </c>
      <c r="G93">
        <v>82.082614822510095</v>
      </c>
      <c r="H93" s="11">
        <f t="shared" si="0"/>
        <v>240.3616925913831</v>
      </c>
      <c r="I93" s="7">
        <f t="shared" si="1"/>
        <v>175.65089063696257</v>
      </c>
      <c r="J93" s="12">
        <f t="shared" si="2"/>
        <v>-64.710801954420532</v>
      </c>
    </row>
    <row r="94" spans="1:10" x14ac:dyDescent="0.2">
      <c r="A94" s="20"/>
      <c r="B94">
        <v>9</v>
      </c>
      <c r="C94">
        <v>30</v>
      </c>
      <c r="D94">
        <v>159.056113659678</v>
      </c>
      <c r="E94">
        <v>94.18</v>
      </c>
      <c r="F94">
        <v>77.633119971254104</v>
      </c>
      <c r="G94">
        <v>52.608934596666707</v>
      </c>
      <c r="H94" s="11">
        <f t="shared" si="0"/>
        <v>211.6650482563447</v>
      </c>
      <c r="I94" s="7">
        <f t="shared" si="1"/>
        <v>171.81311997125411</v>
      </c>
      <c r="J94" s="12">
        <f t="shared" si="2"/>
        <v>-39.851928285090594</v>
      </c>
    </row>
    <row r="95" spans="1:10" x14ac:dyDescent="0.2">
      <c r="A95" s="20"/>
      <c r="B95">
        <v>10</v>
      </c>
      <c r="C95">
        <v>31</v>
      </c>
      <c r="D95">
        <v>132.76571633016499</v>
      </c>
      <c r="E95">
        <v>88.74</v>
      </c>
      <c r="F95">
        <v>80.220890636962565</v>
      </c>
      <c r="G95">
        <v>75.744188967490018</v>
      </c>
      <c r="H95" s="11">
        <f t="shared" si="0"/>
        <v>208.509905297655</v>
      </c>
      <c r="I95" s="7">
        <f t="shared" si="1"/>
        <v>168.96089063696257</v>
      </c>
      <c r="J95" s="12">
        <f t="shared" si="2"/>
        <v>-39.549014660692421</v>
      </c>
    </row>
    <row r="96" spans="1:10" x14ac:dyDescent="0.2">
      <c r="A96" s="20"/>
      <c r="B96">
        <v>11</v>
      </c>
      <c r="C96">
        <v>30</v>
      </c>
      <c r="D96">
        <v>116.346739895818</v>
      </c>
      <c r="E96">
        <v>72.09</v>
      </c>
      <c r="F96">
        <v>77.633119971254104</v>
      </c>
      <c r="G96">
        <v>66.553471477710886</v>
      </c>
      <c r="H96" s="11">
        <f t="shared" si="0"/>
        <v>182.90021137352889</v>
      </c>
      <c r="I96" s="7">
        <f t="shared" si="1"/>
        <v>149.72311997125411</v>
      </c>
      <c r="J96" s="12">
        <f t="shared" si="2"/>
        <v>-33.177091402274783</v>
      </c>
    </row>
    <row r="97" spans="1:11" x14ac:dyDescent="0.2">
      <c r="A97" s="20"/>
      <c r="B97">
        <v>12</v>
      </c>
      <c r="C97">
        <v>31</v>
      </c>
      <c r="D97">
        <v>3.1353758216240699</v>
      </c>
      <c r="E97">
        <v>71.75</v>
      </c>
      <c r="F97">
        <v>80.220890636962565</v>
      </c>
      <c r="G97">
        <v>96.344072996305286</v>
      </c>
      <c r="H97" s="11">
        <f t="shared" si="0"/>
        <v>99.479448817929352</v>
      </c>
      <c r="I97" s="7">
        <f t="shared" si="1"/>
        <v>151.97089063696257</v>
      </c>
      <c r="J97" s="12">
        <f t="shared" si="2"/>
        <v>52.491441819033213</v>
      </c>
    </row>
    <row r="98" spans="1:11" x14ac:dyDescent="0.2">
      <c r="J98" s="12">
        <f>SUM(J38:J97)</f>
        <v>1523.5083454834935</v>
      </c>
      <c r="K98" t="s">
        <v>77</v>
      </c>
    </row>
    <row r="99" spans="1:11" x14ac:dyDescent="0.2">
      <c r="J99" s="12"/>
    </row>
  </sheetData>
  <mergeCells count="8">
    <mergeCell ref="A74:A85"/>
    <mergeCell ref="A86:A97"/>
    <mergeCell ref="A2:A13"/>
    <mergeCell ref="A14:A25"/>
    <mergeCell ref="A26:A37"/>
    <mergeCell ref="A38:A49"/>
    <mergeCell ref="A50:A61"/>
    <mergeCell ref="A62:A73"/>
  </mergeCells>
  <conditionalFormatting sqref="J38:J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CHIRPS_BiasCorrect</vt:lpstr>
      <vt:lpstr>Monthly Effective (P_eff)</vt:lpstr>
      <vt:lpstr>Final Rainfall</vt:lpstr>
      <vt:lpstr>Percolation per month</vt:lpstr>
      <vt:lpstr>ET_a</vt:lpstr>
      <vt:lpstr>Water Delivered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Jastine_Galang</dc:creator>
  <cp:lastModifiedBy>Seth Linga (PhD Geog+Env Sc Lab OS UKRI FT)</cp:lastModifiedBy>
  <dcterms:created xsi:type="dcterms:W3CDTF">2026-01-19T08:23:54Z</dcterms:created>
  <dcterms:modified xsi:type="dcterms:W3CDTF">2026-01-31T01:00:31Z</dcterms:modified>
</cp:coreProperties>
</file>